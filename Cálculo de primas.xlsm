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and\Desktop\Proyectos\Modelo de seguro por divorcio\"/>
    </mc:Choice>
  </mc:AlternateContent>
  <xr:revisionPtr revIDLastSave="0" documentId="13_ncr:1_{ADB6203D-6CCE-4A2B-BF91-BB88B491E839}" xr6:coauthVersionLast="46" xr6:coauthVersionMax="46" xr10:uidLastSave="{00000000-0000-0000-0000-000000000000}"/>
  <bookViews>
    <workbookView xWindow="-120" yWindow="-120" windowWidth="29040" windowHeight="15840" activeTab="5" xr2:uid="{37107405-2EF1-4BE3-8EE4-565DEBDAA2A5}"/>
  </bookViews>
  <sheets>
    <sheet name="D_Puebla" sheetId="13" r:id="rId1"/>
    <sheet name="D_Nacional" sheetId="14" r:id="rId2"/>
    <sheet name="TDM" sheetId="8" r:id="rId3"/>
    <sheet name="TD_Puebla" sheetId="11" r:id="rId4"/>
    <sheet name="TD_Nacional" sheetId="16" r:id="rId5"/>
    <sheet name="Productos" sheetId="17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6" i="17" l="1"/>
  <c r="J6" i="17"/>
  <c r="H17" i="17"/>
  <c r="C12" i="13"/>
  <c r="C5" i="13"/>
  <c r="K6" i="17" a="1"/>
  <c r="F6" i="17" a="1"/>
  <c r="K6" i="17" l="1"/>
  <c r="F6" i="17"/>
  <c r="D4" i="13"/>
  <c r="H11" i="17" l="1"/>
  <c r="H6" i="17"/>
  <c r="F20" i="17" a="1"/>
  <c r="F18" i="17" a="1"/>
  <c r="F10" i="17" a="1"/>
  <c r="F11" i="17" a="1"/>
  <c r="F8" i="17" a="1"/>
  <c r="F19" i="17" a="1"/>
  <c r="F22" i="17" a="1"/>
  <c r="F7" i="17" a="1"/>
  <c r="F17" i="17" a="1"/>
  <c r="F21" i="17" a="1"/>
  <c r="F9" i="17" a="1"/>
  <c r="I6" i="17" a="1"/>
  <c r="F22" i="17" l="1"/>
  <c r="F21" i="17"/>
  <c r="F20" i="17"/>
  <c r="F19" i="17"/>
  <c r="F18" i="17"/>
  <c r="F17" i="17"/>
  <c r="F11" i="17"/>
  <c r="F10" i="17"/>
  <c r="F9" i="17"/>
  <c r="F8" i="17"/>
  <c r="F7" i="17"/>
  <c r="I6" i="17"/>
  <c r="C4" i="13"/>
  <c r="C11" i="13"/>
  <c r="C17" i="13"/>
  <c r="C22" i="13"/>
  <c r="C19" i="13"/>
  <c r="C18" i="13"/>
  <c r="C13" i="13"/>
  <c r="C15" i="13"/>
  <c r="C14" i="13"/>
  <c r="E4" i="13" l="1"/>
  <c r="H19" i="17" l="1"/>
  <c r="H18" i="17" l="1"/>
  <c r="H20" i="17"/>
  <c r="H21" i="17"/>
  <c r="H22" i="17"/>
  <c r="H10" i="17"/>
  <c r="H7" i="17"/>
  <c r="H9" i="17"/>
  <c r="H8" i="17"/>
  <c r="C62" i="14"/>
  <c r="C71" i="14"/>
  <c r="C66" i="14"/>
  <c r="G71" i="14"/>
  <c r="I9" i="17" a="1"/>
  <c r="I18" i="17" a="1"/>
  <c r="I7" i="17" a="1"/>
  <c r="I10" i="17" a="1"/>
  <c r="I11" i="17" a="1"/>
  <c r="I8" i="17" a="1"/>
  <c r="I21" i="17" a="1"/>
  <c r="I20" i="17" a="1"/>
  <c r="I22" i="17" a="1"/>
  <c r="I19" i="17" a="1"/>
  <c r="I17" i="17" a="1"/>
  <c r="I20" i="17" l="1"/>
  <c r="I19" i="17"/>
  <c r="J19" i="17" s="1"/>
  <c r="I18" i="17"/>
  <c r="I21" i="17"/>
  <c r="I22" i="17"/>
  <c r="I17" i="17"/>
  <c r="I10" i="17"/>
  <c r="I8" i="17"/>
  <c r="I11" i="17"/>
  <c r="I9" i="17"/>
  <c r="I7" i="17"/>
  <c r="A5" i="16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D4" i="16"/>
  <c r="D4" i="11"/>
  <c r="B89" i="8"/>
  <c r="B90" i="8"/>
  <c r="B91" i="8" s="1"/>
  <c r="B92" i="8" s="1"/>
  <c r="B93" i="8" s="1"/>
  <c r="B94" i="8" s="1"/>
  <c r="B95" i="8" s="1"/>
  <c r="B96" i="8" s="1"/>
  <c r="B97" i="8" s="1"/>
  <c r="B98" i="8" s="1"/>
  <c r="E4" i="14"/>
  <c r="C93" i="13"/>
  <c r="C6" i="13"/>
  <c r="C9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61" i="14"/>
  <c r="C63" i="14"/>
  <c r="C64" i="14"/>
  <c r="C65" i="14"/>
  <c r="C67" i="14"/>
  <c r="C68" i="14"/>
  <c r="C69" i="14"/>
  <c r="C70" i="14"/>
  <c r="C72" i="14"/>
  <c r="C73" i="14"/>
  <c r="C74" i="14"/>
  <c r="C75" i="14"/>
  <c r="C76" i="14"/>
  <c r="C77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3" i="14"/>
  <c r="C94" i="14"/>
  <c r="C95" i="14"/>
  <c r="C6" i="14"/>
  <c r="C5" i="14"/>
  <c r="C4" i="14"/>
  <c r="D4" i="14"/>
  <c r="G6" i="13"/>
  <c r="G96" i="13"/>
  <c r="C96" i="13"/>
  <c r="D96" i="13" s="1"/>
  <c r="E96" i="13" s="1"/>
  <c r="C7" i="13"/>
  <c r="C8" i="13"/>
  <c r="C9" i="13"/>
  <c r="C10" i="13"/>
  <c r="D10" i="13" s="1"/>
  <c r="E10" i="13" s="1"/>
  <c r="C16" i="13"/>
  <c r="C20" i="13"/>
  <c r="C21" i="13"/>
  <c r="C23" i="13"/>
  <c r="C24" i="13"/>
  <c r="C25" i="13"/>
  <c r="C26" i="13"/>
  <c r="D26" i="13" s="1"/>
  <c r="E26" i="13" s="1"/>
  <c r="C27" i="13"/>
  <c r="C28" i="13"/>
  <c r="C29" i="13"/>
  <c r="C30" i="13"/>
  <c r="D30" i="13" s="1"/>
  <c r="E30" i="13" s="1"/>
  <c r="C31" i="13"/>
  <c r="C32" i="13"/>
  <c r="C33" i="13"/>
  <c r="C34" i="13"/>
  <c r="D34" i="13" s="1"/>
  <c r="E34" i="13" s="1"/>
  <c r="C35" i="13"/>
  <c r="C36" i="13"/>
  <c r="C37" i="13"/>
  <c r="C38" i="13"/>
  <c r="D38" i="13" s="1"/>
  <c r="E38" i="13" s="1"/>
  <c r="C39" i="13"/>
  <c r="C40" i="13"/>
  <c r="C41" i="13"/>
  <c r="C42" i="13"/>
  <c r="D42" i="13" s="1"/>
  <c r="E42" i="13" s="1"/>
  <c r="C43" i="13"/>
  <c r="C44" i="13"/>
  <c r="C45" i="13"/>
  <c r="C46" i="13"/>
  <c r="D46" i="13" s="1"/>
  <c r="E46" i="13" s="1"/>
  <c r="C47" i="13"/>
  <c r="C48" i="13"/>
  <c r="C49" i="13"/>
  <c r="C50" i="13"/>
  <c r="D50" i="13" s="1"/>
  <c r="E50" i="13" s="1"/>
  <c r="C51" i="13"/>
  <c r="C52" i="13"/>
  <c r="C53" i="13"/>
  <c r="C54" i="13"/>
  <c r="D54" i="13" s="1"/>
  <c r="E54" i="13" s="1"/>
  <c r="C55" i="13"/>
  <c r="C56" i="13"/>
  <c r="C57" i="13"/>
  <c r="C58" i="13"/>
  <c r="D58" i="13" s="1"/>
  <c r="E58" i="13" s="1"/>
  <c r="C59" i="13"/>
  <c r="C60" i="13"/>
  <c r="C61" i="13"/>
  <c r="C62" i="13"/>
  <c r="D62" i="13" s="1"/>
  <c r="E62" i="13" s="1"/>
  <c r="C63" i="13"/>
  <c r="C64" i="13"/>
  <c r="C65" i="13"/>
  <c r="C66" i="13"/>
  <c r="D66" i="13" s="1"/>
  <c r="E66" i="13" s="1"/>
  <c r="C67" i="13"/>
  <c r="C68" i="13"/>
  <c r="C69" i="13"/>
  <c r="C70" i="13"/>
  <c r="D70" i="13" s="1"/>
  <c r="E70" i="13" s="1"/>
  <c r="C71" i="13"/>
  <c r="C72" i="13"/>
  <c r="C73" i="13"/>
  <c r="C74" i="13"/>
  <c r="D74" i="13" s="1"/>
  <c r="E74" i="13" s="1"/>
  <c r="C75" i="13"/>
  <c r="C76" i="13"/>
  <c r="C77" i="13"/>
  <c r="C78" i="13"/>
  <c r="D78" i="13" s="1"/>
  <c r="E78" i="13" s="1"/>
  <c r="C79" i="13"/>
  <c r="C80" i="13"/>
  <c r="C81" i="13"/>
  <c r="C82" i="13"/>
  <c r="D82" i="13" s="1"/>
  <c r="E82" i="13" s="1"/>
  <c r="C83" i="13"/>
  <c r="C84" i="13"/>
  <c r="C85" i="13"/>
  <c r="C86" i="13"/>
  <c r="D86" i="13" s="1"/>
  <c r="E86" i="13" s="1"/>
  <c r="C87" i="13"/>
  <c r="C88" i="13"/>
  <c r="D88" i="13" s="1"/>
  <c r="E88" i="13" s="1"/>
  <c r="C89" i="13"/>
  <c r="C90" i="13"/>
  <c r="D90" i="13" s="1"/>
  <c r="E90" i="13" s="1"/>
  <c r="C91" i="13"/>
  <c r="C92" i="13"/>
  <c r="D92" i="13" s="1"/>
  <c r="E92" i="13" s="1"/>
  <c r="C94" i="13"/>
  <c r="D94" i="13" s="1"/>
  <c r="E94" i="13" s="1"/>
  <c r="C95" i="13"/>
  <c r="D5" i="13"/>
  <c r="E5" i="13" s="1"/>
  <c r="D23" i="13"/>
  <c r="E23" i="13" s="1"/>
  <c r="D12" i="13"/>
  <c r="E12" i="13" s="1"/>
  <c r="C6" i="8" s="1" a="1"/>
  <c r="C6" i="8" s="1"/>
  <c r="D9" i="13"/>
  <c r="E9" i="13" s="1"/>
  <c r="D6" i="13"/>
  <c r="E6" i="13" s="1"/>
  <c r="D7" i="13"/>
  <c r="E7" i="13" s="1"/>
  <c r="D8" i="13"/>
  <c r="E8" i="13" s="1"/>
  <c r="D11" i="13"/>
  <c r="E11" i="13" s="1"/>
  <c r="D13" i="13"/>
  <c r="D14" i="13"/>
  <c r="E14" i="13" s="1"/>
  <c r="D15" i="13"/>
  <c r="E15" i="13" s="1"/>
  <c r="D16" i="13"/>
  <c r="E16" i="13" s="1"/>
  <c r="D17" i="13"/>
  <c r="D18" i="13"/>
  <c r="E18" i="13" s="1"/>
  <c r="D19" i="13"/>
  <c r="E19" i="13" s="1"/>
  <c r="D20" i="13"/>
  <c r="D21" i="13"/>
  <c r="D22" i="13"/>
  <c r="E22" i="13" s="1"/>
  <c r="D24" i="13"/>
  <c r="D25" i="13"/>
  <c r="E25" i="13" s="1"/>
  <c r="D27" i="13"/>
  <c r="D28" i="13"/>
  <c r="D29" i="13"/>
  <c r="D31" i="13"/>
  <c r="E31" i="13" s="1"/>
  <c r="D32" i="13"/>
  <c r="D33" i="13"/>
  <c r="E33" i="13" s="1"/>
  <c r="D35" i="13"/>
  <c r="E35" i="13" s="1"/>
  <c r="D36" i="13"/>
  <c r="E36" i="13" s="1"/>
  <c r="D37" i="13"/>
  <c r="D39" i="13"/>
  <c r="E39" i="13" s="1"/>
  <c r="D40" i="13"/>
  <c r="D41" i="13"/>
  <c r="E41" i="13" s="1"/>
  <c r="D43" i="13"/>
  <c r="D44" i="13"/>
  <c r="D45" i="13"/>
  <c r="D47" i="13"/>
  <c r="E47" i="13" s="1"/>
  <c r="D48" i="13"/>
  <c r="D49" i="13"/>
  <c r="E49" i="13" s="1"/>
  <c r="D51" i="13"/>
  <c r="E51" i="13" s="1"/>
  <c r="D52" i="13"/>
  <c r="E52" i="13" s="1"/>
  <c r="D53" i="13"/>
  <c r="D55" i="13"/>
  <c r="E55" i="13" s="1"/>
  <c r="D56" i="13"/>
  <c r="D57" i="13"/>
  <c r="E57" i="13" s="1"/>
  <c r="D59" i="13"/>
  <c r="D60" i="13"/>
  <c r="D61" i="13"/>
  <c r="D63" i="13"/>
  <c r="E63" i="13" s="1"/>
  <c r="D64" i="13"/>
  <c r="D65" i="13"/>
  <c r="E65" i="13" s="1"/>
  <c r="D67" i="13"/>
  <c r="E67" i="13" s="1"/>
  <c r="D68" i="13"/>
  <c r="E68" i="13" s="1"/>
  <c r="D69" i="13"/>
  <c r="D71" i="13"/>
  <c r="E71" i="13" s="1"/>
  <c r="D72" i="13"/>
  <c r="D73" i="13"/>
  <c r="E73" i="13" s="1"/>
  <c r="D75" i="13"/>
  <c r="D76" i="13"/>
  <c r="D77" i="13"/>
  <c r="D79" i="13"/>
  <c r="E79" i="13" s="1"/>
  <c r="D80" i="13"/>
  <c r="D81" i="13"/>
  <c r="E81" i="13" s="1"/>
  <c r="D83" i="13"/>
  <c r="E83" i="13" s="1"/>
  <c r="D84" i="13"/>
  <c r="E84" i="13" s="1"/>
  <c r="D85" i="13"/>
  <c r="D87" i="13"/>
  <c r="E87" i="13" s="1"/>
  <c r="D89" i="13"/>
  <c r="E89" i="13" s="1"/>
  <c r="D91" i="13"/>
  <c r="D93" i="13"/>
  <c r="E93" i="13" s="1"/>
  <c r="D95" i="13"/>
  <c r="E95" i="13" s="1"/>
  <c r="E13" i="13"/>
  <c r="E17" i="13"/>
  <c r="E20" i="13"/>
  <c r="E21" i="13"/>
  <c r="E24" i="13"/>
  <c r="E27" i="13"/>
  <c r="E28" i="13"/>
  <c r="E29" i="13"/>
  <c r="E32" i="13"/>
  <c r="E37" i="13"/>
  <c r="E40" i="13"/>
  <c r="E43" i="13"/>
  <c r="E44" i="13"/>
  <c r="E45" i="13"/>
  <c r="E48" i="13"/>
  <c r="E53" i="13"/>
  <c r="E56" i="13"/>
  <c r="E59" i="13"/>
  <c r="E60" i="13"/>
  <c r="E61" i="13"/>
  <c r="E64" i="13"/>
  <c r="E69" i="13"/>
  <c r="E72" i="13"/>
  <c r="E75" i="13"/>
  <c r="E76" i="13"/>
  <c r="E77" i="13"/>
  <c r="E80" i="13"/>
  <c r="E85" i="13"/>
  <c r="E91" i="13"/>
  <c r="K19" i="17" a="1"/>
  <c r="J22" i="17" l="1"/>
  <c r="K19" i="17"/>
  <c r="O19" i="17" s="1"/>
  <c r="J10" i="17"/>
  <c r="J21" i="17"/>
  <c r="J18" i="17"/>
  <c r="J17" i="17"/>
  <c r="J20" i="17"/>
  <c r="J8" i="17"/>
  <c r="J7" i="17"/>
  <c r="J11" i="17"/>
  <c r="J9" i="17"/>
  <c r="G96" i="14"/>
  <c r="H96" i="14" s="1"/>
  <c r="I96" i="14" s="1"/>
  <c r="D96" i="14"/>
  <c r="E96" i="14" s="1"/>
  <c r="H95" i="14"/>
  <c r="I95" i="14" s="1"/>
  <c r="G95" i="14"/>
  <c r="D95" i="14"/>
  <c r="E95" i="14" s="1"/>
  <c r="G94" i="14"/>
  <c r="H94" i="14" s="1"/>
  <c r="I94" i="14" s="1"/>
  <c r="D94" i="14"/>
  <c r="E94" i="14" s="1"/>
  <c r="G93" i="14"/>
  <c r="H93" i="14" s="1"/>
  <c r="I93" i="14" s="1"/>
  <c r="D93" i="14"/>
  <c r="E93" i="14" s="1"/>
  <c r="G92" i="14"/>
  <c r="H92" i="14" s="1"/>
  <c r="I92" i="14" s="1"/>
  <c r="D92" i="14"/>
  <c r="E92" i="14" s="1"/>
  <c r="H91" i="14"/>
  <c r="I91" i="14" s="1"/>
  <c r="G91" i="14"/>
  <c r="D91" i="14"/>
  <c r="E91" i="14" s="1"/>
  <c r="G90" i="14"/>
  <c r="H90" i="14" s="1"/>
  <c r="I90" i="14" s="1"/>
  <c r="D90" i="14"/>
  <c r="E90" i="14" s="1"/>
  <c r="G89" i="14"/>
  <c r="H89" i="14" s="1"/>
  <c r="I89" i="14" s="1"/>
  <c r="D89" i="14"/>
  <c r="E89" i="14" s="1"/>
  <c r="G88" i="14"/>
  <c r="H88" i="14" s="1"/>
  <c r="I88" i="14" s="1"/>
  <c r="D88" i="14"/>
  <c r="E88" i="14" s="1"/>
  <c r="H87" i="14"/>
  <c r="I87" i="14" s="1"/>
  <c r="G87" i="14"/>
  <c r="D87" i="14"/>
  <c r="E87" i="14" s="1"/>
  <c r="G86" i="14"/>
  <c r="H86" i="14" s="1"/>
  <c r="I86" i="14" s="1"/>
  <c r="D86" i="14"/>
  <c r="E86" i="14" s="1"/>
  <c r="G85" i="14"/>
  <c r="H85" i="14" s="1"/>
  <c r="I85" i="14" s="1"/>
  <c r="D85" i="14"/>
  <c r="E85" i="14" s="1"/>
  <c r="G84" i="14"/>
  <c r="H84" i="14" s="1"/>
  <c r="I84" i="14" s="1"/>
  <c r="D84" i="14"/>
  <c r="E84" i="14" s="1"/>
  <c r="H83" i="14"/>
  <c r="I83" i="14" s="1"/>
  <c r="G83" i="14"/>
  <c r="D83" i="14"/>
  <c r="E83" i="14" s="1"/>
  <c r="G82" i="14"/>
  <c r="H82" i="14" s="1"/>
  <c r="I82" i="14" s="1"/>
  <c r="D82" i="14"/>
  <c r="E82" i="14" s="1"/>
  <c r="G81" i="14"/>
  <c r="H81" i="14" s="1"/>
  <c r="I81" i="14" s="1"/>
  <c r="D81" i="14"/>
  <c r="E81" i="14" s="1"/>
  <c r="G80" i="14"/>
  <c r="H80" i="14" s="1"/>
  <c r="I80" i="14" s="1"/>
  <c r="D80" i="14"/>
  <c r="E80" i="14" s="1"/>
  <c r="H79" i="14"/>
  <c r="I79" i="14" s="1"/>
  <c r="G79" i="14"/>
  <c r="D79" i="14"/>
  <c r="E79" i="14" s="1"/>
  <c r="G78" i="14"/>
  <c r="H78" i="14" s="1"/>
  <c r="I78" i="14" s="1"/>
  <c r="D78" i="14"/>
  <c r="E78" i="14" s="1"/>
  <c r="G77" i="14"/>
  <c r="H77" i="14" s="1"/>
  <c r="I77" i="14" s="1"/>
  <c r="D77" i="14"/>
  <c r="E77" i="14" s="1"/>
  <c r="G76" i="14"/>
  <c r="H76" i="14" s="1"/>
  <c r="I76" i="14" s="1"/>
  <c r="D76" i="14"/>
  <c r="E76" i="14" s="1"/>
  <c r="H75" i="14"/>
  <c r="I75" i="14" s="1"/>
  <c r="G75" i="14"/>
  <c r="D75" i="14"/>
  <c r="E75" i="14" s="1"/>
  <c r="G74" i="14"/>
  <c r="H74" i="14" s="1"/>
  <c r="I74" i="14" s="1"/>
  <c r="D74" i="14"/>
  <c r="E74" i="14" s="1"/>
  <c r="G73" i="14"/>
  <c r="H73" i="14" s="1"/>
  <c r="I73" i="14" s="1"/>
  <c r="D73" i="14"/>
  <c r="E73" i="14" s="1"/>
  <c r="G72" i="14"/>
  <c r="H72" i="14" s="1"/>
  <c r="I72" i="14" s="1"/>
  <c r="D72" i="14"/>
  <c r="E72" i="14" s="1"/>
  <c r="H71" i="14"/>
  <c r="I71" i="14" s="1"/>
  <c r="D71" i="14"/>
  <c r="E71" i="14" s="1"/>
  <c r="G70" i="14"/>
  <c r="H70" i="14" s="1"/>
  <c r="I70" i="14" s="1"/>
  <c r="D70" i="14"/>
  <c r="E70" i="14" s="1"/>
  <c r="G69" i="14"/>
  <c r="H69" i="14" s="1"/>
  <c r="I69" i="14" s="1"/>
  <c r="D69" i="14"/>
  <c r="E69" i="14" s="1"/>
  <c r="G68" i="14"/>
  <c r="H68" i="14" s="1"/>
  <c r="I68" i="14" s="1"/>
  <c r="D68" i="14"/>
  <c r="E68" i="14" s="1"/>
  <c r="H67" i="14"/>
  <c r="I67" i="14" s="1"/>
  <c r="G67" i="14"/>
  <c r="D67" i="14"/>
  <c r="E67" i="14" s="1"/>
  <c r="G66" i="14"/>
  <c r="H66" i="14" s="1"/>
  <c r="I66" i="14" s="1"/>
  <c r="D66" i="14"/>
  <c r="E66" i="14" s="1"/>
  <c r="I6" i="8" s="1" a="1"/>
  <c r="G65" i="14"/>
  <c r="H65" i="14" s="1"/>
  <c r="I65" i="14" s="1"/>
  <c r="D65" i="14"/>
  <c r="E65" i="14" s="1"/>
  <c r="G64" i="14"/>
  <c r="H64" i="14" s="1"/>
  <c r="I64" i="14" s="1"/>
  <c r="D64" i="14"/>
  <c r="E64" i="14" s="1"/>
  <c r="H63" i="14"/>
  <c r="I63" i="14" s="1"/>
  <c r="G63" i="14"/>
  <c r="D63" i="14"/>
  <c r="E63" i="14" s="1"/>
  <c r="G62" i="14"/>
  <c r="H62" i="14" s="1"/>
  <c r="I62" i="14" s="1"/>
  <c r="D62" i="14"/>
  <c r="E62" i="14" s="1"/>
  <c r="G61" i="14"/>
  <c r="H61" i="14" s="1"/>
  <c r="I61" i="14" s="1"/>
  <c r="D61" i="14"/>
  <c r="E61" i="14" s="1"/>
  <c r="H60" i="14"/>
  <c r="I60" i="14" s="1"/>
  <c r="G60" i="14"/>
  <c r="D60" i="14"/>
  <c r="E60" i="14" s="1"/>
  <c r="H59" i="14"/>
  <c r="I59" i="14" s="1"/>
  <c r="G59" i="14"/>
  <c r="D59" i="14"/>
  <c r="E59" i="14" s="1"/>
  <c r="G58" i="14"/>
  <c r="H58" i="14" s="1"/>
  <c r="I58" i="14" s="1"/>
  <c r="D58" i="14"/>
  <c r="E58" i="14" s="1"/>
  <c r="G57" i="14"/>
  <c r="H57" i="14" s="1"/>
  <c r="I57" i="14" s="1"/>
  <c r="D57" i="14"/>
  <c r="E57" i="14" s="1"/>
  <c r="H56" i="14"/>
  <c r="I56" i="14" s="1"/>
  <c r="G56" i="14"/>
  <c r="D56" i="14"/>
  <c r="E56" i="14" s="1"/>
  <c r="H55" i="14"/>
  <c r="I55" i="14" s="1"/>
  <c r="G55" i="14"/>
  <c r="D55" i="14"/>
  <c r="E55" i="14" s="1"/>
  <c r="G54" i="14"/>
  <c r="H54" i="14" s="1"/>
  <c r="I54" i="14" s="1"/>
  <c r="D54" i="14"/>
  <c r="E54" i="14" s="1"/>
  <c r="G53" i="14"/>
  <c r="H53" i="14" s="1"/>
  <c r="I53" i="14" s="1"/>
  <c r="D53" i="14"/>
  <c r="E53" i="14" s="1"/>
  <c r="H52" i="14"/>
  <c r="I52" i="14" s="1"/>
  <c r="G52" i="14"/>
  <c r="D52" i="14"/>
  <c r="E52" i="14" s="1"/>
  <c r="H51" i="14"/>
  <c r="I51" i="14" s="1"/>
  <c r="G51" i="14"/>
  <c r="D51" i="14"/>
  <c r="E51" i="14" s="1"/>
  <c r="G50" i="14"/>
  <c r="H50" i="14" s="1"/>
  <c r="I50" i="14" s="1"/>
  <c r="D50" i="14"/>
  <c r="E50" i="14" s="1"/>
  <c r="G49" i="14"/>
  <c r="H49" i="14" s="1"/>
  <c r="I49" i="14" s="1"/>
  <c r="D49" i="14"/>
  <c r="E49" i="14" s="1"/>
  <c r="H48" i="14"/>
  <c r="I48" i="14" s="1"/>
  <c r="G48" i="14"/>
  <c r="D48" i="14"/>
  <c r="E48" i="14" s="1"/>
  <c r="H47" i="14"/>
  <c r="I47" i="14" s="1"/>
  <c r="G47" i="14"/>
  <c r="D47" i="14"/>
  <c r="E47" i="14" s="1"/>
  <c r="G46" i="14"/>
  <c r="H46" i="14" s="1"/>
  <c r="I46" i="14" s="1"/>
  <c r="D46" i="14"/>
  <c r="E46" i="14" s="1"/>
  <c r="G45" i="14"/>
  <c r="H45" i="14" s="1"/>
  <c r="I45" i="14" s="1"/>
  <c r="D45" i="14"/>
  <c r="E45" i="14" s="1"/>
  <c r="H44" i="14"/>
  <c r="I44" i="14" s="1"/>
  <c r="G44" i="14"/>
  <c r="D44" i="14"/>
  <c r="E44" i="14" s="1"/>
  <c r="H43" i="14"/>
  <c r="I43" i="14" s="1"/>
  <c r="G43" i="14"/>
  <c r="D43" i="14"/>
  <c r="E43" i="14" s="1"/>
  <c r="G42" i="14"/>
  <c r="H42" i="14" s="1"/>
  <c r="I42" i="14" s="1"/>
  <c r="D42" i="14"/>
  <c r="E42" i="14" s="1"/>
  <c r="G41" i="14"/>
  <c r="H41" i="14" s="1"/>
  <c r="I41" i="14" s="1"/>
  <c r="D41" i="14"/>
  <c r="E41" i="14" s="1"/>
  <c r="H40" i="14"/>
  <c r="I40" i="14" s="1"/>
  <c r="G40" i="14"/>
  <c r="D40" i="14"/>
  <c r="E40" i="14" s="1"/>
  <c r="H39" i="14"/>
  <c r="I39" i="14" s="1"/>
  <c r="G39" i="14"/>
  <c r="D39" i="14"/>
  <c r="E39" i="14" s="1"/>
  <c r="G38" i="14"/>
  <c r="H38" i="14" s="1"/>
  <c r="I38" i="14" s="1"/>
  <c r="D38" i="14"/>
  <c r="E38" i="14" s="1"/>
  <c r="G37" i="14"/>
  <c r="H37" i="14" s="1"/>
  <c r="I37" i="14" s="1"/>
  <c r="D37" i="14"/>
  <c r="E37" i="14" s="1"/>
  <c r="H36" i="14"/>
  <c r="I36" i="14" s="1"/>
  <c r="G36" i="14"/>
  <c r="D36" i="14"/>
  <c r="E36" i="14" s="1"/>
  <c r="H35" i="14"/>
  <c r="I35" i="14" s="1"/>
  <c r="G35" i="14"/>
  <c r="D35" i="14"/>
  <c r="E35" i="14" s="1"/>
  <c r="G34" i="14"/>
  <c r="H34" i="14" s="1"/>
  <c r="I34" i="14" s="1"/>
  <c r="D34" i="14"/>
  <c r="E34" i="14" s="1"/>
  <c r="G33" i="14"/>
  <c r="H33" i="14" s="1"/>
  <c r="I33" i="14" s="1"/>
  <c r="D33" i="14"/>
  <c r="E33" i="14" s="1"/>
  <c r="H32" i="14"/>
  <c r="I32" i="14" s="1"/>
  <c r="G32" i="14"/>
  <c r="D32" i="14"/>
  <c r="E32" i="14" s="1"/>
  <c r="H31" i="14"/>
  <c r="I31" i="14" s="1"/>
  <c r="G31" i="14"/>
  <c r="D31" i="14"/>
  <c r="E31" i="14" s="1"/>
  <c r="G30" i="14"/>
  <c r="H30" i="14" s="1"/>
  <c r="I30" i="14" s="1"/>
  <c r="D30" i="14"/>
  <c r="E30" i="14" s="1"/>
  <c r="G29" i="14"/>
  <c r="H29" i="14" s="1"/>
  <c r="I29" i="14" s="1"/>
  <c r="D29" i="14"/>
  <c r="E29" i="14" s="1"/>
  <c r="H28" i="14"/>
  <c r="I28" i="14" s="1"/>
  <c r="G28" i="14"/>
  <c r="D28" i="14"/>
  <c r="E28" i="14" s="1"/>
  <c r="H27" i="14"/>
  <c r="I27" i="14" s="1"/>
  <c r="G27" i="14"/>
  <c r="D27" i="14"/>
  <c r="E27" i="14" s="1"/>
  <c r="G26" i="14"/>
  <c r="H26" i="14" s="1"/>
  <c r="I26" i="14" s="1"/>
  <c r="D26" i="14"/>
  <c r="E26" i="14" s="1"/>
  <c r="G25" i="14"/>
  <c r="H25" i="14" s="1"/>
  <c r="I25" i="14" s="1"/>
  <c r="D25" i="14"/>
  <c r="E25" i="14" s="1"/>
  <c r="H24" i="14"/>
  <c r="I24" i="14" s="1"/>
  <c r="G24" i="14"/>
  <c r="D24" i="14"/>
  <c r="E24" i="14" s="1"/>
  <c r="H23" i="14"/>
  <c r="I23" i="14" s="1"/>
  <c r="G23" i="14"/>
  <c r="D23" i="14"/>
  <c r="E23" i="14" s="1"/>
  <c r="G22" i="14"/>
  <c r="H22" i="14" s="1"/>
  <c r="I22" i="14" s="1"/>
  <c r="D22" i="14"/>
  <c r="E22" i="14" s="1"/>
  <c r="G21" i="14"/>
  <c r="H21" i="14" s="1"/>
  <c r="I21" i="14" s="1"/>
  <c r="D21" i="14"/>
  <c r="E21" i="14" s="1"/>
  <c r="H20" i="14"/>
  <c r="I20" i="14" s="1"/>
  <c r="G20" i="14"/>
  <c r="D20" i="14"/>
  <c r="E20" i="14" s="1"/>
  <c r="H19" i="14"/>
  <c r="I19" i="14" s="1"/>
  <c r="G19" i="14"/>
  <c r="D19" i="14"/>
  <c r="E19" i="14" s="1"/>
  <c r="G18" i="14"/>
  <c r="H18" i="14" s="1"/>
  <c r="I18" i="14" s="1"/>
  <c r="D18" i="14"/>
  <c r="E18" i="14" s="1"/>
  <c r="G17" i="14"/>
  <c r="H17" i="14" s="1"/>
  <c r="I17" i="14" s="1"/>
  <c r="D17" i="14"/>
  <c r="E17" i="14" s="1"/>
  <c r="H16" i="14"/>
  <c r="I16" i="14" s="1"/>
  <c r="G16" i="14"/>
  <c r="D16" i="14"/>
  <c r="E16" i="14" s="1"/>
  <c r="H15" i="14"/>
  <c r="I15" i="14" s="1"/>
  <c r="G15" i="14"/>
  <c r="D15" i="14"/>
  <c r="E15" i="14" s="1"/>
  <c r="G14" i="14"/>
  <c r="H14" i="14" s="1"/>
  <c r="I14" i="14" s="1"/>
  <c r="D14" i="14"/>
  <c r="E14" i="14" s="1"/>
  <c r="G13" i="14"/>
  <c r="H13" i="14" s="1"/>
  <c r="I13" i="14" s="1"/>
  <c r="D13" i="14"/>
  <c r="E13" i="14" s="1"/>
  <c r="H12" i="14"/>
  <c r="I12" i="14" s="1"/>
  <c r="G12" i="14"/>
  <c r="D12" i="14"/>
  <c r="E12" i="14" s="1"/>
  <c r="H11" i="14"/>
  <c r="I11" i="14" s="1"/>
  <c r="G11" i="14"/>
  <c r="D11" i="14"/>
  <c r="E11" i="14" s="1"/>
  <c r="G10" i="14"/>
  <c r="H10" i="14" s="1"/>
  <c r="I10" i="14" s="1"/>
  <c r="D10" i="14"/>
  <c r="E10" i="14" s="1"/>
  <c r="G9" i="14"/>
  <c r="H9" i="14" s="1"/>
  <c r="I9" i="14" s="1"/>
  <c r="D9" i="14"/>
  <c r="E9" i="14" s="1"/>
  <c r="H8" i="14"/>
  <c r="I8" i="14" s="1"/>
  <c r="G8" i="14"/>
  <c r="D8" i="14"/>
  <c r="E8" i="14" s="1"/>
  <c r="H7" i="14"/>
  <c r="I7" i="14" s="1"/>
  <c r="G7" i="14"/>
  <c r="D7" i="14"/>
  <c r="E7" i="14" s="1"/>
  <c r="G6" i="14"/>
  <c r="H6" i="14" s="1"/>
  <c r="I6" i="14" s="1"/>
  <c r="D6" i="14"/>
  <c r="E6" i="14" s="1"/>
  <c r="H5" i="14"/>
  <c r="I5" i="14" s="1"/>
  <c r="G5" i="14"/>
  <c r="D5" i="14"/>
  <c r="E5" i="14" s="1"/>
  <c r="A5" i="14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G4" i="14"/>
  <c r="H4" i="14" s="1"/>
  <c r="I4" i="14" s="1"/>
  <c r="G4" i="13"/>
  <c r="H4" i="13" s="1"/>
  <c r="I4" i="13" s="1"/>
  <c r="A87" i="13"/>
  <c r="G87" i="13"/>
  <c r="H87" i="13" s="1"/>
  <c r="I87" i="13" s="1"/>
  <c r="A88" i="13"/>
  <c r="A89" i="13" s="1"/>
  <c r="A90" i="13" s="1"/>
  <c r="A91" i="13" s="1"/>
  <c r="A92" i="13" s="1"/>
  <c r="A93" i="13" s="1"/>
  <c r="A94" i="13" s="1"/>
  <c r="A95" i="13" s="1"/>
  <c r="A96" i="13" s="1"/>
  <c r="G88" i="13"/>
  <c r="H88" i="13" s="1"/>
  <c r="I88" i="13" s="1"/>
  <c r="G89" i="13"/>
  <c r="H89" i="13" s="1"/>
  <c r="I89" i="13" s="1"/>
  <c r="G90" i="13"/>
  <c r="H90" i="13" s="1"/>
  <c r="I90" i="13" s="1"/>
  <c r="G91" i="13"/>
  <c r="H91" i="13" s="1"/>
  <c r="I91" i="13" s="1"/>
  <c r="G92" i="13"/>
  <c r="H92" i="13" s="1"/>
  <c r="I92" i="13" s="1"/>
  <c r="G93" i="13"/>
  <c r="H93" i="13" s="1"/>
  <c r="I93" i="13" s="1"/>
  <c r="G94" i="13"/>
  <c r="H94" i="13" s="1"/>
  <c r="I94" i="13" s="1"/>
  <c r="G95" i="13"/>
  <c r="H95" i="13" s="1"/>
  <c r="I95" i="13" s="1"/>
  <c r="H96" i="13"/>
  <c r="I96" i="13" s="1"/>
  <c r="G5" i="13"/>
  <c r="H5" i="13" s="1"/>
  <c r="I5" i="13" s="1"/>
  <c r="G7" i="13"/>
  <c r="G8" i="13"/>
  <c r="H8" i="13" s="1"/>
  <c r="I8" i="13" s="1"/>
  <c r="G9" i="13"/>
  <c r="G10" i="13"/>
  <c r="G11" i="13"/>
  <c r="G12" i="13"/>
  <c r="H12" i="13" s="1"/>
  <c r="I12" i="13" s="1"/>
  <c r="G13" i="13"/>
  <c r="H13" i="13" s="1"/>
  <c r="I13" i="13" s="1"/>
  <c r="G14" i="13"/>
  <c r="H14" i="13" s="1"/>
  <c r="I14" i="13" s="1"/>
  <c r="G15" i="13"/>
  <c r="H15" i="13" s="1"/>
  <c r="I15" i="13" s="1"/>
  <c r="G16" i="13"/>
  <c r="H16" i="13" s="1"/>
  <c r="I16" i="13" s="1"/>
  <c r="G17" i="13"/>
  <c r="H17" i="13" s="1"/>
  <c r="I17" i="13" s="1"/>
  <c r="G18" i="13"/>
  <c r="G19" i="13"/>
  <c r="H19" i="13" s="1"/>
  <c r="I19" i="13" s="1"/>
  <c r="G20" i="13"/>
  <c r="H20" i="13" s="1"/>
  <c r="I20" i="13" s="1"/>
  <c r="G21" i="13"/>
  <c r="H21" i="13" s="1"/>
  <c r="I21" i="13" s="1"/>
  <c r="G22" i="13"/>
  <c r="H22" i="13" s="1"/>
  <c r="I22" i="13" s="1"/>
  <c r="G23" i="13"/>
  <c r="G24" i="13"/>
  <c r="H24" i="13" s="1"/>
  <c r="I24" i="13" s="1"/>
  <c r="G25" i="13"/>
  <c r="H25" i="13" s="1"/>
  <c r="I25" i="13" s="1"/>
  <c r="G26" i="13"/>
  <c r="G27" i="13"/>
  <c r="G28" i="13"/>
  <c r="H28" i="13" s="1"/>
  <c r="I28" i="13" s="1"/>
  <c r="G29" i="13"/>
  <c r="H29" i="13" s="1"/>
  <c r="I29" i="13" s="1"/>
  <c r="G30" i="13"/>
  <c r="G31" i="13"/>
  <c r="G32" i="13"/>
  <c r="H32" i="13" s="1"/>
  <c r="I32" i="13" s="1"/>
  <c r="G33" i="13"/>
  <c r="H33" i="13" s="1"/>
  <c r="I33" i="13" s="1"/>
  <c r="G34" i="13"/>
  <c r="G35" i="13"/>
  <c r="G36" i="13"/>
  <c r="H36" i="13" s="1"/>
  <c r="I36" i="13" s="1"/>
  <c r="G37" i="13"/>
  <c r="H37" i="13" s="1"/>
  <c r="I37" i="13" s="1"/>
  <c r="G38" i="13"/>
  <c r="G39" i="13"/>
  <c r="G40" i="13"/>
  <c r="H40" i="13" s="1"/>
  <c r="I40" i="13" s="1"/>
  <c r="G41" i="13"/>
  <c r="H41" i="13" s="1"/>
  <c r="I41" i="13" s="1"/>
  <c r="G42" i="13"/>
  <c r="G43" i="13"/>
  <c r="G44" i="13"/>
  <c r="H44" i="13" s="1"/>
  <c r="I44" i="13" s="1"/>
  <c r="G45" i="13"/>
  <c r="H45" i="13" s="1"/>
  <c r="I45" i="13" s="1"/>
  <c r="G46" i="13"/>
  <c r="G47" i="13"/>
  <c r="G48" i="13"/>
  <c r="H48" i="13" s="1"/>
  <c r="I48" i="13" s="1"/>
  <c r="G49" i="13"/>
  <c r="H49" i="13" s="1"/>
  <c r="I49" i="13" s="1"/>
  <c r="G50" i="13"/>
  <c r="G51" i="13"/>
  <c r="G52" i="13"/>
  <c r="H52" i="13" s="1"/>
  <c r="I52" i="13" s="1"/>
  <c r="G53" i="13"/>
  <c r="H53" i="13" s="1"/>
  <c r="I53" i="13" s="1"/>
  <c r="G54" i="13"/>
  <c r="G55" i="13"/>
  <c r="G56" i="13"/>
  <c r="H56" i="13" s="1"/>
  <c r="I56" i="13" s="1"/>
  <c r="G57" i="13"/>
  <c r="H57" i="13" s="1"/>
  <c r="I57" i="13" s="1"/>
  <c r="G58" i="13"/>
  <c r="G59" i="13"/>
  <c r="G60" i="13"/>
  <c r="H60" i="13" s="1"/>
  <c r="I60" i="13" s="1"/>
  <c r="G61" i="13"/>
  <c r="H61" i="13" s="1"/>
  <c r="I61" i="13" s="1"/>
  <c r="G62" i="13"/>
  <c r="G63" i="13"/>
  <c r="G64" i="13"/>
  <c r="H64" i="13" s="1"/>
  <c r="I64" i="13" s="1"/>
  <c r="G65" i="13"/>
  <c r="H65" i="13" s="1"/>
  <c r="I65" i="13" s="1"/>
  <c r="G66" i="13"/>
  <c r="G67" i="13"/>
  <c r="G68" i="13"/>
  <c r="H68" i="13" s="1"/>
  <c r="I68" i="13" s="1"/>
  <c r="G69" i="13"/>
  <c r="H69" i="13" s="1"/>
  <c r="I69" i="13" s="1"/>
  <c r="G70" i="13"/>
  <c r="G71" i="13"/>
  <c r="G72" i="13"/>
  <c r="H72" i="13" s="1"/>
  <c r="I72" i="13" s="1"/>
  <c r="G73" i="13"/>
  <c r="G74" i="13"/>
  <c r="G75" i="13"/>
  <c r="G76" i="13"/>
  <c r="H76" i="13" s="1"/>
  <c r="I76" i="13" s="1"/>
  <c r="G77" i="13"/>
  <c r="H77" i="13" s="1"/>
  <c r="I77" i="13" s="1"/>
  <c r="G78" i="13"/>
  <c r="G79" i="13"/>
  <c r="G80" i="13"/>
  <c r="H80" i="13" s="1"/>
  <c r="I80" i="13" s="1"/>
  <c r="G81" i="13"/>
  <c r="H81" i="13" s="1"/>
  <c r="I81" i="13" s="1"/>
  <c r="G82" i="13"/>
  <c r="G83" i="13"/>
  <c r="G84" i="13"/>
  <c r="H84" i="13" s="1"/>
  <c r="I84" i="13" s="1"/>
  <c r="G85" i="13"/>
  <c r="H85" i="13" s="1"/>
  <c r="I85" i="13" s="1"/>
  <c r="G86" i="13"/>
  <c r="H6" i="13"/>
  <c r="I6" i="13" s="1"/>
  <c r="H7" i="13"/>
  <c r="I7" i="13" s="1"/>
  <c r="H9" i="13"/>
  <c r="I9" i="13" s="1"/>
  <c r="H10" i="13"/>
  <c r="I10" i="13" s="1"/>
  <c r="H11" i="13"/>
  <c r="I11" i="13" s="1"/>
  <c r="H18" i="13"/>
  <c r="I18" i="13" s="1"/>
  <c r="H23" i="13"/>
  <c r="I23" i="13" s="1"/>
  <c r="H26" i="13"/>
  <c r="I26" i="13" s="1"/>
  <c r="H27" i="13"/>
  <c r="I27" i="13" s="1"/>
  <c r="H30" i="13"/>
  <c r="I30" i="13" s="1"/>
  <c r="H31" i="13"/>
  <c r="I31" i="13" s="1"/>
  <c r="H34" i="13"/>
  <c r="I34" i="13" s="1"/>
  <c r="H35" i="13"/>
  <c r="I35" i="13" s="1"/>
  <c r="H38" i="13"/>
  <c r="I38" i="13" s="1"/>
  <c r="H39" i="13"/>
  <c r="I39" i="13" s="1"/>
  <c r="H42" i="13"/>
  <c r="I42" i="13" s="1"/>
  <c r="H43" i="13"/>
  <c r="I43" i="13" s="1"/>
  <c r="H46" i="13"/>
  <c r="I46" i="13" s="1"/>
  <c r="H47" i="13"/>
  <c r="I47" i="13" s="1"/>
  <c r="H50" i="13"/>
  <c r="I50" i="13" s="1"/>
  <c r="H51" i="13"/>
  <c r="I51" i="13" s="1"/>
  <c r="H54" i="13"/>
  <c r="I54" i="13" s="1"/>
  <c r="H55" i="13"/>
  <c r="I55" i="13" s="1"/>
  <c r="H58" i="13"/>
  <c r="I58" i="13" s="1"/>
  <c r="H59" i="13"/>
  <c r="I59" i="13" s="1"/>
  <c r="H62" i="13"/>
  <c r="I62" i="13" s="1"/>
  <c r="H63" i="13"/>
  <c r="I63" i="13" s="1"/>
  <c r="H66" i="13"/>
  <c r="I66" i="13" s="1"/>
  <c r="H67" i="13"/>
  <c r="I67" i="13" s="1"/>
  <c r="H70" i="13"/>
  <c r="I70" i="13" s="1"/>
  <c r="H71" i="13"/>
  <c r="I71" i="13" s="1"/>
  <c r="H73" i="13"/>
  <c r="I73" i="13" s="1"/>
  <c r="H74" i="13"/>
  <c r="I74" i="13" s="1"/>
  <c r="H75" i="13"/>
  <c r="I75" i="13" s="1"/>
  <c r="H78" i="13"/>
  <c r="I78" i="13" s="1"/>
  <c r="H79" i="13"/>
  <c r="I79" i="13" s="1"/>
  <c r="H82" i="13"/>
  <c r="I82" i="13" s="1"/>
  <c r="H83" i="13"/>
  <c r="I83" i="13" s="1"/>
  <c r="H86" i="13"/>
  <c r="I86" i="13" s="1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K20" i="17" a="1"/>
  <c r="K22" i="17" a="1"/>
  <c r="K11" i="17" a="1"/>
  <c r="K8" i="17" a="1"/>
  <c r="K18" i="17" a="1"/>
  <c r="K10" i="17" a="1"/>
  <c r="K17" i="17" a="1"/>
  <c r="K9" i="17" a="1"/>
  <c r="K7" i="17" a="1"/>
  <c r="K21" i="17" a="1"/>
  <c r="D6" i="8" l="1" a="1"/>
  <c r="F91" i="8" s="1"/>
  <c r="K22" i="17"/>
  <c r="O22" i="17" s="1"/>
  <c r="K20" i="17"/>
  <c r="O20" i="17" s="1"/>
  <c r="K17" i="17"/>
  <c r="O17" i="17" s="1"/>
  <c r="K21" i="17"/>
  <c r="O21" i="17" s="1"/>
  <c r="K10" i="17"/>
  <c r="O10" i="17" s="1"/>
  <c r="K18" i="17"/>
  <c r="O18" i="17" s="1"/>
  <c r="K8" i="17"/>
  <c r="O8" i="17" s="1"/>
  <c r="K9" i="17"/>
  <c r="O9" i="17" s="1"/>
  <c r="K7" i="17"/>
  <c r="O7" i="17" s="1"/>
  <c r="K11" i="17"/>
  <c r="O11" i="17" s="1"/>
  <c r="J6" i="8" a="1"/>
  <c r="K90" i="8" s="1"/>
  <c r="I6" i="8"/>
  <c r="K95" i="8"/>
  <c r="L96" i="8"/>
  <c r="L98" i="8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6" i="11" s="1"/>
  <c r="A77" i="11" s="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A95" i="11" s="1"/>
  <c r="A96" i="11" s="1"/>
  <c r="B7" i="8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71" i="8" s="1"/>
  <c r="B72" i="8" s="1"/>
  <c r="B73" i="8" s="1"/>
  <c r="B74" i="8" s="1"/>
  <c r="B75" i="8" s="1"/>
  <c r="B76" i="8" s="1"/>
  <c r="B77" i="8" s="1"/>
  <c r="B78" i="8" s="1"/>
  <c r="B79" i="8" s="1"/>
  <c r="B80" i="8" s="1"/>
  <c r="B81" i="8" s="1"/>
  <c r="B82" i="8" s="1"/>
  <c r="B83" i="8" s="1"/>
  <c r="B84" i="8" s="1"/>
  <c r="B85" i="8" s="1"/>
  <c r="B86" i="8" s="1"/>
  <c r="B87" i="8" s="1"/>
  <c r="B88" i="8" s="1"/>
  <c r="E98" i="8" l="1"/>
  <c r="F98" i="8"/>
  <c r="F97" i="8"/>
  <c r="E97" i="8"/>
  <c r="D6" i="8"/>
  <c r="E93" i="8"/>
  <c r="E92" i="8"/>
  <c r="F94" i="8"/>
  <c r="E89" i="8"/>
  <c r="E90" i="8"/>
  <c r="F93" i="8"/>
  <c r="E96" i="8"/>
  <c r="E91" i="8"/>
  <c r="G91" i="8" s="1"/>
  <c r="H91" i="8" s="1"/>
  <c r="F90" i="8"/>
  <c r="G90" i="8" s="1"/>
  <c r="H90" i="8" s="1"/>
  <c r="F96" i="8"/>
  <c r="F92" i="8"/>
  <c r="G92" i="8" s="1"/>
  <c r="H92" i="8" s="1"/>
  <c r="E95" i="8"/>
  <c r="E94" i="8"/>
  <c r="F89" i="8"/>
  <c r="F95" i="8"/>
  <c r="M90" i="8"/>
  <c r="N90" i="8" s="1"/>
  <c r="L95" i="8"/>
  <c r="L90" i="8"/>
  <c r="K96" i="8"/>
  <c r="L93" i="8"/>
  <c r="J6" i="8"/>
  <c r="K94" i="8"/>
  <c r="K93" i="8"/>
  <c r="M93" i="8" s="1"/>
  <c r="N93" i="8" s="1"/>
  <c r="L6" i="8"/>
  <c r="L91" i="8"/>
  <c r="L94" i="8"/>
  <c r="M94" i="8" s="1"/>
  <c r="N94" i="8" s="1"/>
  <c r="K89" i="8"/>
  <c r="K91" i="8"/>
  <c r="M91" i="8" s="1"/>
  <c r="N91" i="8" s="1"/>
  <c r="K92" i="8"/>
  <c r="L97" i="8"/>
  <c r="M97" i="8" s="1"/>
  <c r="N97" i="8" s="1"/>
  <c r="L89" i="8"/>
  <c r="L92" i="8"/>
  <c r="M92" i="8" s="1"/>
  <c r="N92" i="8" s="1"/>
  <c r="K97" i="8"/>
  <c r="K98" i="8"/>
  <c r="M98" i="8" s="1"/>
  <c r="N98" i="8" s="1"/>
  <c r="M89" i="8"/>
  <c r="N89" i="8" s="1"/>
  <c r="M95" i="8"/>
  <c r="N95" i="8" s="1"/>
  <c r="M96" i="8"/>
  <c r="N96" i="8" s="1"/>
  <c r="K6" i="8"/>
  <c r="L7" i="8"/>
  <c r="L8" i="8"/>
  <c r="L9" i="8"/>
  <c r="L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L86" i="8"/>
  <c r="L87" i="8"/>
  <c r="L88" i="8"/>
  <c r="K7" i="8"/>
  <c r="M7" i="8" s="1"/>
  <c r="N7" i="8" s="1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M35" i="8" s="1"/>
  <c r="N35" i="8" s="1"/>
  <c r="K36" i="8"/>
  <c r="K37" i="8"/>
  <c r="K38" i="8"/>
  <c r="K39" i="8"/>
  <c r="M39" i="8" s="1"/>
  <c r="N39" i="8" s="1"/>
  <c r="K40" i="8"/>
  <c r="K41" i="8"/>
  <c r="K42" i="8"/>
  <c r="K43" i="8"/>
  <c r="M43" i="8" s="1"/>
  <c r="N43" i="8" s="1"/>
  <c r="K44" i="8"/>
  <c r="K45" i="8"/>
  <c r="K46" i="8"/>
  <c r="K47" i="8"/>
  <c r="M47" i="8" s="1"/>
  <c r="N47" i="8" s="1"/>
  <c r="K48" i="8"/>
  <c r="K49" i="8"/>
  <c r="K50" i="8"/>
  <c r="K51" i="8"/>
  <c r="M51" i="8" s="1"/>
  <c r="N51" i="8" s="1"/>
  <c r="K52" i="8"/>
  <c r="K53" i="8"/>
  <c r="K54" i="8"/>
  <c r="K55" i="8"/>
  <c r="M55" i="8" s="1"/>
  <c r="N55" i="8" s="1"/>
  <c r="K56" i="8"/>
  <c r="K57" i="8"/>
  <c r="K58" i="8"/>
  <c r="K59" i="8"/>
  <c r="M59" i="8" s="1"/>
  <c r="N59" i="8" s="1"/>
  <c r="K60" i="8"/>
  <c r="K61" i="8"/>
  <c r="K62" i="8"/>
  <c r="K63" i="8"/>
  <c r="M63" i="8" s="1"/>
  <c r="N63" i="8" s="1"/>
  <c r="K64" i="8"/>
  <c r="K65" i="8"/>
  <c r="K66" i="8"/>
  <c r="K67" i="8"/>
  <c r="M67" i="8" s="1"/>
  <c r="N67" i="8" s="1"/>
  <c r="K68" i="8"/>
  <c r="K69" i="8"/>
  <c r="K70" i="8"/>
  <c r="K71" i="8"/>
  <c r="M71" i="8" s="1"/>
  <c r="N71" i="8" s="1"/>
  <c r="K72" i="8"/>
  <c r="K73" i="8"/>
  <c r="K74" i="8"/>
  <c r="K75" i="8"/>
  <c r="M75" i="8" s="1"/>
  <c r="N75" i="8" s="1"/>
  <c r="K76" i="8"/>
  <c r="K77" i="8"/>
  <c r="K78" i="8"/>
  <c r="K79" i="8"/>
  <c r="M79" i="8" s="1"/>
  <c r="N79" i="8" s="1"/>
  <c r="K80" i="8"/>
  <c r="K81" i="8"/>
  <c r="K82" i="8"/>
  <c r="K83" i="8"/>
  <c r="M83" i="8" s="1"/>
  <c r="N83" i="8" s="1"/>
  <c r="K84" i="8"/>
  <c r="K85" i="8"/>
  <c r="K86" i="8"/>
  <c r="K87" i="8"/>
  <c r="M87" i="8" s="1"/>
  <c r="N87" i="8" s="1"/>
  <c r="K88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6" i="8" l="1"/>
  <c r="G6" i="8" s="1"/>
  <c r="F6" i="8"/>
  <c r="G97" i="8"/>
  <c r="H97" i="8" s="1"/>
  <c r="G98" i="8"/>
  <c r="H98" i="8" s="1"/>
  <c r="G94" i="8"/>
  <c r="H94" i="8" s="1"/>
  <c r="G89" i="8"/>
  <c r="H89" i="8" s="1"/>
  <c r="G96" i="8"/>
  <c r="H96" i="8" s="1"/>
  <c r="G93" i="8"/>
  <c r="H93" i="8" s="1"/>
  <c r="G95" i="8"/>
  <c r="H95" i="8" s="1"/>
  <c r="I4" i="11" a="1"/>
  <c r="G88" i="8"/>
  <c r="H88" i="8" s="1"/>
  <c r="G84" i="8"/>
  <c r="H84" i="8" s="1"/>
  <c r="G80" i="8"/>
  <c r="H80" i="8" s="1"/>
  <c r="G76" i="8"/>
  <c r="H76" i="8" s="1"/>
  <c r="G72" i="8"/>
  <c r="H72" i="8" s="1"/>
  <c r="G68" i="8"/>
  <c r="H68" i="8" s="1"/>
  <c r="G64" i="8"/>
  <c r="H64" i="8" s="1"/>
  <c r="G60" i="8"/>
  <c r="H60" i="8" s="1"/>
  <c r="G56" i="8"/>
  <c r="H56" i="8" s="1"/>
  <c r="G52" i="8"/>
  <c r="H52" i="8" s="1"/>
  <c r="G48" i="8"/>
  <c r="H48" i="8" s="1"/>
  <c r="G44" i="8"/>
  <c r="H44" i="8" s="1"/>
  <c r="G40" i="8"/>
  <c r="H40" i="8" s="1"/>
  <c r="G36" i="8"/>
  <c r="H36" i="8" s="1"/>
  <c r="G32" i="8"/>
  <c r="H32" i="8" s="1"/>
  <c r="G28" i="8"/>
  <c r="H28" i="8" s="1"/>
  <c r="G24" i="8"/>
  <c r="H24" i="8" s="1"/>
  <c r="G20" i="8"/>
  <c r="H20" i="8" s="1"/>
  <c r="G16" i="8"/>
  <c r="H16" i="8" s="1"/>
  <c r="G12" i="8"/>
  <c r="H12" i="8" s="1"/>
  <c r="G8" i="8"/>
  <c r="H8" i="8" s="1"/>
  <c r="F4" i="11" a="1"/>
  <c r="M31" i="8"/>
  <c r="N31" i="8" s="1"/>
  <c r="M27" i="8"/>
  <c r="N27" i="8" s="1"/>
  <c r="M23" i="8"/>
  <c r="N23" i="8" s="1"/>
  <c r="M19" i="8"/>
  <c r="N19" i="8" s="1"/>
  <c r="M15" i="8"/>
  <c r="N15" i="8" s="1"/>
  <c r="M11" i="8"/>
  <c r="N11" i="8" s="1"/>
  <c r="I4" i="16" a="1"/>
  <c r="I4" i="16"/>
  <c r="J96" i="16"/>
  <c r="J92" i="16"/>
  <c r="J66" i="16"/>
  <c r="J58" i="16"/>
  <c r="J89" i="16"/>
  <c r="J85" i="16"/>
  <c r="J81" i="16"/>
  <c r="J77" i="16"/>
  <c r="J73" i="16"/>
  <c r="J67" i="16"/>
  <c r="J59" i="16"/>
  <c r="J8" i="16"/>
  <c r="J16" i="16"/>
  <c r="J24" i="16"/>
  <c r="J32" i="16"/>
  <c r="J5" i="16"/>
  <c r="J13" i="16"/>
  <c r="J21" i="16"/>
  <c r="J29" i="16"/>
  <c r="J35" i="16"/>
  <c r="J36" i="16"/>
  <c r="J40" i="16"/>
  <c r="J44" i="16"/>
  <c r="J48" i="16"/>
  <c r="J52" i="16"/>
  <c r="J93" i="16"/>
  <c r="J68" i="16"/>
  <c r="J60" i="16"/>
  <c r="J90" i="16"/>
  <c r="J86" i="16"/>
  <c r="J82" i="16"/>
  <c r="J78" i="16"/>
  <c r="J74" i="16"/>
  <c r="J69" i="16"/>
  <c r="J61" i="16"/>
  <c r="J10" i="16"/>
  <c r="J95" i="16"/>
  <c r="J91" i="16"/>
  <c r="J64" i="16"/>
  <c r="J56" i="16"/>
  <c r="J88" i="16"/>
  <c r="J84" i="16"/>
  <c r="J80" i="16"/>
  <c r="J76" i="16"/>
  <c r="J72" i="16"/>
  <c r="J65" i="16"/>
  <c r="J57" i="16"/>
  <c r="J6" i="16"/>
  <c r="J14" i="16"/>
  <c r="J22" i="16"/>
  <c r="J30" i="16"/>
  <c r="J11" i="16"/>
  <c r="J19" i="16"/>
  <c r="J27" i="16"/>
  <c r="J37" i="16"/>
  <c r="J41" i="16"/>
  <c r="J45" i="16"/>
  <c r="J49" i="16"/>
  <c r="J53" i="16"/>
  <c r="J94" i="16"/>
  <c r="J70" i="16"/>
  <c r="J62" i="16"/>
  <c r="J54" i="16"/>
  <c r="J87" i="16"/>
  <c r="J83" i="16"/>
  <c r="J79" i="16"/>
  <c r="J75" i="16"/>
  <c r="J71" i="16"/>
  <c r="J63" i="16"/>
  <c r="J55" i="16"/>
  <c r="J12" i="16"/>
  <c r="J20" i="16"/>
  <c r="J28" i="16"/>
  <c r="J9" i="16"/>
  <c r="J17" i="16"/>
  <c r="J25" i="16"/>
  <c r="J33" i="16"/>
  <c r="J38" i="16"/>
  <c r="J42" i="16"/>
  <c r="J46" i="16"/>
  <c r="J50" i="16"/>
  <c r="J7" i="16"/>
  <c r="J39" i="16"/>
  <c r="J34" i="16"/>
  <c r="J31" i="16"/>
  <c r="J43" i="16"/>
  <c r="J26" i="16"/>
  <c r="J23" i="16"/>
  <c r="J47" i="16"/>
  <c r="J18" i="16"/>
  <c r="J15" i="16"/>
  <c r="J51" i="16"/>
  <c r="M85" i="8"/>
  <c r="N85" i="8" s="1"/>
  <c r="M81" i="8"/>
  <c r="N81" i="8" s="1"/>
  <c r="M77" i="8"/>
  <c r="N77" i="8" s="1"/>
  <c r="M73" i="8"/>
  <c r="N73" i="8" s="1"/>
  <c r="M69" i="8"/>
  <c r="N69" i="8" s="1"/>
  <c r="M65" i="8"/>
  <c r="N65" i="8" s="1"/>
  <c r="M61" i="8"/>
  <c r="N61" i="8" s="1"/>
  <c r="M57" i="8"/>
  <c r="N57" i="8" s="1"/>
  <c r="M53" i="8"/>
  <c r="N53" i="8" s="1"/>
  <c r="M49" i="8"/>
  <c r="N49" i="8" s="1"/>
  <c r="M45" i="8"/>
  <c r="N45" i="8" s="1"/>
  <c r="F4" i="16" a="1"/>
  <c r="M6" i="8"/>
  <c r="M88" i="8"/>
  <c r="N88" i="8" s="1"/>
  <c r="M84" i="8"/>
  <c r="N84" i="8" s="1"/>
  <c r="M80" i="8"/>
  <c r="N80" i="8" s="1"/>
  <c r="M76" i="8"/>
  <c r="N76" i="8" s="1"/>
  <c r="M72" i="8"/>
  <c r="N72" i="8" s="1"/>
  <c r="M68" i="8"/>
  <c r="N68" i="8" s="1"/>
  <c r="M64" i="8"/>
  <c r="N64" i="8" s="1"/>
  <c r="M60" i="8"/>
  <c r="N60" i="8" s="1"/>
  <c r="M56" i="8"/>
  <c r="N56" i="8" s="1"/>
  <c r="M52" i="8"/>
  <c r="N52" i="8" s="1"/>
  <c r="M48" i="8"/>
  <c r="N48" i="8" s="1"/>
  <c r="M44" i="8"/>
  <c r="N44" i="8" s="1"/>
  <c r="M40" i="8"/>
  <c r="N40" i="8" s="1"/>
  <c r="M36" i="8"/>
  <c r="N36" i="8" s="1"/>
  <c r="M32" i="8"/>
  <c r="N32" i="8" s="1"/>
  <c r="M28" i="8"/>
  <c r="N28" i="8" s="1"/>
  <c r="M24" i="8"/>
  <c r="N24" i="8" s="1"/>
  <c r="M20" i="8"/>
  <c r="N20" i="8" s="1"/>
  <c r="M16" i="8"/>
  <c r="N16" i="8" s="1"/>
  <c r="M12" i="8"/>
  <c r="N12" i="8" s="1"/>
  <c r="M8" i="8"/>
  <c r="N8" i="8" s="1"/>
  <c r="M41" i="8"/>
  <c r="N41" i="8" s="1"/>
  <c r="M37" i="8"/>
  <c r="N37" i="8" s="1"/>
  <c r="M33" i="8"/>
  <c r="N33" i="8" s="1"/>
  <c r="M29" i="8"/>
  <c r="N29" i="8" s="1"/>
  <c r="M25" i="8"/>
  <c r="N25" i="8" s="1"/>
  <c r="M21" i="8"/>
  <c r="N21" i="8" s="1"/>
  <c r="M17" i="8"/>
  <c r="N17" i="8" s="1"/>
  <c r="M13" i="8"/>
  <c r="N13" i="8" s="1"/>
  <c r="M9" i="8"/>
  <c r="N9" i="8" s="1"/>
  <c r="G85" i="8"/>
  <c r="H85" i="8" s="1"/>
  <c r="G81" i="8"/>
  <c r="H81" i="8" s="1"/>
  <c r="G77" i="8"/>
  <c r="H77" i="8" s="1"/>
  <c r="G73" i="8"/>
  <c r="H73" i="8" s="1"/>
  <c r="G69" i="8"/>
  <c r="H69" i="8" s="1"/>
  <c r="G65" i="8"/>
  <c r="H65" i="8" s="1"/>
  <c r="G61" i="8"/>
  <c r="H61" i="8" s="1"/>
  <c r="G57" i="8"/>
  <c r="H57" i="8" s="1"/>
  <c r="G53" i="8"/>
  <c r="H53" i="8" s="1"/>
  <c r="G45" i="8"/>
  <c r="H45" i="8" s="1"/>
  <c r="G41" i="8"/>
  <c r="H41" i="8" s="1"/>
  <c r="G37" i="8"/>
  <c r="H37" i="8" s="1"/>
  <c r="G33" i="8"/>
  <c r="H33" i="8" s="1"/>
  <c r="G29" i="8"/>
  <c r="H29" i="8" s="1"/>
  <c r="G25" i="8"/>
  <c r="H25" i="8" s="1"/>
  <c r="G21" i="8"/>
  <c r="H21" i="8" s="1"/>
  <c r="G17" i="8"/>
  <c r="H17" i="8" s="1"/>
  <c r="G13" i="8"/>
  <c r="H13" i="8" s="1"/>
  <c r="G9" i="8"/>
  <c r="H9" i="8" s="1"/>
  <c r="G87" i="8"/>
  <c r="H87" i="8" s="1"/>
  <c r="G86" i="8"/>
  <c r="H86" i="8" s="1"/>
  <c r="G82" i="8"/>
  <c r="H82" i="8" s="1"/>
  <c r="G78" i="8"/>
  <c r="H78" i="8" s="1"/>
  <c r="G74" i="8"/>
  <c r="H74" i="8" s="1"/>
  <c r="G70" i="8"/>
  <c r="H70" i="8" s="1"/>
  <c r="G66" i="8"/>
  <c r="H66" i="8" s="1"/>
  <c r="G62" i="8"/>
  <c r="H62" i="8" s="1"/>
  <c r="G58" i="8"/>
  <c r="H58" i="8" s="1"/>
  <c r="G54" i="8"/>
  <c r="H54" i="8" s="1"/>
  <c r="G50" i="8"/>
  <c r="H50" i="8" s="1"/>
  <c r="G46" i="8"/>
  <c r="H46" i="8" s="1"/>
  <c r="G42" i="8"/>
  <c r="H42" i="8" s="1"/>
  <c r="G38" i="8"/>
  <c r="H38" i="8" s="1"/>
  <c r="G34" i="8"/>
  <c r="H34" i="8" s="1"/>
  <c r="G30" i="8"/>
  <c r="H30" i="8" s="1"/>
  <c r="G26" i="8"/>
  <c r="H26" i="8" s="1"/>
  <c r="G22" i="8"/>
  <c r="H22" i="8" s="1"/>
  <c r="G18" i="8"/>
  <c r="H18" i="8" s="1"/>
  <c r="G14" i="8"/>
  <c r="H14" i="8" s="1"/>
  <c r="G10" i="8"/>
  <c r="H10" i="8" s="1"/>
  <c r="G83" i="8"/>
  <c r="H83" i="8" s="1"/>
  <c r="G79" i="8"/>
  <c r="H79" i="8" s="1"/>
  <c r="G75" i="8"/>
  <c r="H75" i="8" s="1"/>
  <c r="G71" i="8"/>
  <c r="H71" i="8" s="1"/>
  <c r="G67" i="8"/>
  <c r="H67" i="8" s="1"/>
  <c r="G63" i="8"/>
  <c r="H63" i="8" s="1"/>
  <c r="G59" i="8"/>
  <c r="H59" i="8" s="1"/>
  <c r="G55" i="8"/>
  <c r="H55" i="8" s="1"/>
  <c r="G51" i="8"/>
  <c r="H51" i="8" s="1"/>
  <c r="G47" i="8"/>
  <c r="H47" i="8" s="1"/>
  <c r="G43" i="8"/>
  <c r="H43" i="8" s="1"/>
  <c r="G39" i="8"/>
  <c r="H39" i="8" s="1"/>
  <c r="G35" i="8"/>
  <c r="H35" i="8" s="1"/>
  <c r="G31" i="8"/>
  <c r="H31" i="8" s="1"/>
  <c r="G27" i="8"/>
  <c r="H27" i="8" s="1"/>
  <c r="G23" i="8"/>
  <c r="H23" i="8" s="1"/>
  <c r="G19" i="8"/>
  <c r="H19" i="8" s="1"/>
  <c r="G15" i="8"/>
  <c r="H15" i="8" s="1"/>
  <c r="G11" i="8"/>
  <c r="H11" i="8" s="1"/>
  <c r="G7" i="8"/>
  <c r="H7" i="8" s="1"/>
  <c r="G49" i="8"/>
  <c r="H49" i="8" s="1"/>
  <c r="M86" i="8"/>
  <c r="N86" i="8" s="1"/>
  <c r="M82" i="8"/>
  <c r="N82" i="8" s="1"/>
  <c r="M78" i="8"/>
  <c r="N78" i="8" s="1"/>
  <c r="M74" i="8"/>
  <c r="N74" i="8" s="1"/>
  <c r="M70" i="8"/>
  <c r="N70" i="8" s="1"/>
  <c r="M66" i="8"/>
  <c r="N66" i="8" s="1"/>
  <c r="M62" i="8"/>
  <c r="N62" i="8" s="1"/>
  <c r="M58" i="8"/>
  <c r="N58" i="8" s="1"/>
  <c r="M54" i="8"/>
  <c r="N54" i="8" s="1"/>
  <c r="M50" i="8"/>
  <c r="N50" i="8" s="1"/>
  <c r="M46" i="8"/>
  <c r="N46" i="8" s="1"/>
  <c r="M42" i="8"/>
  <c r="N42" i="8" s="1"/>
  <c r="M38" i="8"/>
  <c r="N38" i="8" s="1"/>
  <c r="M34" i="8"/>
  <c r="N34" i="8" s="1"/>
  <c r="M30" i="8"/>
  <c r="N30" i="8" s="1"/>
  <c r="M26" i="8"/>
  <c r="N26" i="8" s="1"/>
  <c r="M22" i="8"/>
  <c r="N22" i="8" s="1"/>
  <c r="M18" i="8"/>
  <c r="N18" i="8" s="1"/>
  <c r="M14" i="8"/>
  <c r="N14" i="8" s="1"/>
  <c r="M10" i="8"/>
  <c r="N10" i="8" s="1"/>
  <c r="F4" i="11" l="1"/>
  <c r="G8" i="11"/>
  <c r="G12" i="11"/>
  <c r="G16" i="11"/>
  <c r="G20" i="11"/>
  <c r="G24" i="11"/>
  <c r="G28" i="11"/>
  <c r="G32" i="11"/>
  <c r="G36" i="11"/>
  <c r="G40" i="11"/>
  <c r="G44" i="11"/>
  <c r="G48" i="11"/>
  <c r="G52" i="11"/>
  <c r="G56" i="11"/>
  <c r="G60" i="11"/>
  <c r="G7" i="11"/>
  <c r="G13" i="11"/>
  <c r="G18" i="11"/>
  <c r="G23" i="11"/>
  <c r="G29" i="11"/>
  <c r="G34" i="11"/>
  <c r="G39" i="11"/>
  <c r="G45" i="11"/>
  <c r="G50" i="11"/>
  <c r="G55" i="11"/>
  <c r="G61" i="11"/>
  <c r="G65" i="11"/>
  <c r="G69" i="11"/>
  <c r="G73" i="11"/>
  <c r="G77" i="11"/>
  <c r="G81" i="11"/>
  <c r="G85" i="11"/>
  <c r="G89" i="11"/>
  <c r="G93" i="11"/>
  <c r="G9" i="11"/>
  <c r="G14" i="11"/>
  <c r="G19" i="11"/>
  <c r="G25" i="11"/>
  <c r="G30" i="11"/>
  <c r="G35" i="11"/>
  <c r="G41" i="11"/>
  <c r="G46" i="11"/>
  <c r="G51" i="11"/>
  <c r="G57" i="11"/>
  <c r="G62" i="11"/>
  <c r="G66" i="11"/>
  <c r="G70" i="11"/>
  <c r="G74" i="11"/>
  <c r="G78" i="11"/>
  <c r="G82" i="11"/>
  <c r="G86" i="11"/>
  <c r="G90" i="11"/>
  <c r="G94" i="11"/>
  <c r="G5" i="11"/>
  <c r="G15" i="11"/>
  <c r="G26" i="11"/>
  <c r="G37" i="11"/>
  <c r="G47" i="11"/>
  <c r="G58" i="11"/>
  <c r="G67" i="11"/>
  <c r="G75" i="11"/>
  <c r="G83" i="11"/>
  <c r="G91" i="11"/>
  <c r="G21" i="11"/>
  <c r="G42" i="11"/>
  <c r="G63" i="11"/>
  <c r="G79" i="11"/>
  <c r="G95" i="11"/>
  <c r="G22" i="11"/>
  <c r="G43" i="11"/>
  <c r="G64" i="11"/>
  <c r="G80" i="11"/>
  <c r="G96" i="11"/>
  <c r="G6" i="11"/>
  <c r="G17" i="11"/>
  <c r="G27" i="11"/>
  <c r="G38" i="11"/>
  <c r="G49" i="11"/>
  <c r="G59" i="11"/>
  <c r="G68" i="11"/>
  <c r="G76" i="11"/>
  <c r="G84" i="11"/>
  <c r="G92" i="11"/>
  <c r="G10" i="11"/>
  <c r="G31" i="11"/>
  <c r="G53" i="11"/>
  <c r="G71" i="11"/>
  <c r="G87" i="11"/>
  <c r="G11" i="11"/>
  <c r="G33" i="11"/>
  <c r="G54" i="11"/>
  <c r="G72" i="11"/>
  <c r="G88" i="11"/>
  <c r="H6" i="8"/>
  <c r="B4" i="11" a="1"/>
  <c r="I4" i="11"/>
  <c r="J8" i="11"/>
  <c r="J12" i="11"/>
  <c r="J16" i="11"/>
  <c r="J20" i="11"/>
  <c r="J24" i="11"/>
  <c r="J28" i="11"/>
  <c r="J32" i="11"/>
  <c r="J36" i="11"/>
  <c r="J40" i="11"/>
  <c r="J44" i="11"/>
  <c r="J48" i="11"/>
  <c r="J52" i="11"/>
  <c r="J56" i="11"/>
  <c r="J60" i="11"/>
  <c r="J64" i="11"/>
  <c r="J68" i="11"/>
  <c r="J72" i="11"/>
  <c r="J76" i="11"/>
  <c r="J80" i="11"/>
  <c r="J84" i="11"/>
  <c r="J88" i="11"/>
  <c r="J92" i="11"/>
  <c r="J96" i="11"/>
  <c r="J9" i="11"/>
  <c r="J14" i="11"/>
  <c r="J19" i="11"/>
  <c r="J25" i="11"/>
  <c r="J30" i="11"/>
  <c r="J35" i="11"/>
  <c r="J41" i="11"/>
  <c r="J46" i="11"/>
  <c r="J51" i="11"/>
  <c r="J57" i="11"/>
  <c r="J62" i="11"/>
  <c r="J67" i="11"/>
  <c r="J73" i="11"/>
  <c r="J78" i="11"/>
  <c r="J83" i="11"/>
  <c r="J89" i="11"/>
  <c r="J94" i="11"/>
  <c r="J5" i="11"/>
  <c r="J10" i="11"/>
  <c r="J15" i="11"/>
  <c r="J21" i="11"/>
  <c r="J26" i="11"/>
  <c r="J31" i="11"/>
  <c r="J37" i="11"/>
  <c r="J42" i="11"/>
  <c r="J47" i="11"/>
  <c r="J53" i="11"/>
  <c r="J58" i="11"/>
  <c r="J63" i="11"/>
  <c r="J69" i="11"/>
  <c r="J74" i="11"/>
  <c r="J79" i="11"/>
  <c r="J85" i="11"/>
  <c r="J90" i="11"/>
  <c r="J95" i="11"/>
  <c r="J11" i="11"/>
  <c r="J22" i="11"/>
  <c r="J33" i="11"/>
  <c r="J43" i="11"/>
  <c r="J54" i="11"/>
  <c r="J65" i="11"/>
  <c r="J75" i="11"/>
  <c r="J86" i="11"/>
  <c r="J17" i="11"/>
  <c r="J38" i="11"/>
  <c r="J59" i="11"/>
  <c r="J81" i="11"/>
  <c r="J18" i="11"/>
  <c r="J39" i="11"/>
  <c r="J61" i="11"/>
  <c r="J82" i="11"/>
  <c r="J13" i="11"/>
  <c r="J23" i="11"/>
  <c r="J34" i="11"/>
  <c r="J45" i="11"/>
  <c r="J55" i="11"/>
  <c r="J66" i="11"/>
  <c r="J77" i="11"/>
  <c r="J87" i="11"/>
  <c r="J6" i="11"/>
  <c r="J27" i="11"/>
  <c r="J49" i="11"/>
  <c r="J70" i="11"/>
  <c r="J91" i="11"/>
  <c r="J7" i="11"/>
  <c r="J29" i="11"/>
  <c r="J50" i="11"/>
  <c r="J71" i="11"/>
  <c r="J93" i="11"/>
  <c r="N6" i="8"/>
  <c r="B4" i="16" a="1"/>
  <c r="F4" i="16"/>
  <c r="G71" i="16"/>
  <c r="G11" i="16"/>
  <c r="G19" i="16"/>
  <c r="G27" i="16"/>
  <c r="G35" i="16"/>
  <c r="G65" i="16"/>
  <c r="G59" i="16"/>
  <c r="G92" i="16"/>
  <c r="G64" i="16"/>
  <c r="G90" i="16"/>
  <c r="G86" i="16"/>
  <c r="G82" i="16"/>
  <c r="G78" i="16"/>
  <c r="G74" i="16"/>
  <c r="G8" i="16"/>
  <c r="G16" i="16"/>
  <c r="G24" i="16"/>
  <c r="G32" i="16"/>
  <c r="G39" i="16"/>
  <c r="G43" i="16"/>
  <c r="G47" i="16"/>
  <c r="G51" i="16"/>
  <c r="G58" i="16"/>
  <c r="G67" i="16"/>
  <c r="G5" i="16"/>
  <c r="G13" i="16"/>
  <c r="G9" i="16"/>
  <c r="G17" i="16"/>
  <c r="G25" i="16"/>
  <c r="G33" i="16"/>
  <c r="G63" i="16"/>
  <c r="G70" i="16"/>
  <c r="G95" i="16"/>
  <c r="G89" i="16"/>
  <c r="G85" i="16"/>
  <c r="G81" i="16"/>
  <c r="G77" i="16"/>
  <c r="G73" i="16"/>
  <c r="G6" i="16"/>
  <c r="G14" i="16"/>
  <c r="G22" i="16"/>
  <c r="G30" i="16"/>
  <c r="G36" i="16"/>
  <c r="G40" i="16"/>
  <c r="G44" i="16"/>
  <c r="G48" i="16"/>
  <c r="G52" i="16"/>
  <c r="G62" i="16"/>
  <c r="G7" i="16"/>
  <c r="G15" i="16"/>
  <c r="G23" i="16"/>
  <c r="G31" i="16"/>
  <c r="G56" i="16"/>
  <c r="G96" i="16"/>
  <c r="G68" i="16"/>
  <c r="G93" i="16"/>
  <c r="G88" i="16"/>
  <c r="G84" i="16"/>
  <c r="G80" i="16"/>
  <c r="G76" i="16"/>
  <c r="G72" i="16"/>
  <c r="G12" i="16"/>
  <c r="G20" i="16"/>
  <c r="G28" i="16"/>
  <c r="G37" i="16"/>
  <c r="G41" i="16"/>
  <c r="G45" i="16"/>
  <c r="G49" i="16"/>
  <c r="G53" i="16"/>
  <c r="G69" i="16"/>
  <c r="G57" i="16"/>
  <c r="G21" i="16"/>
  <c r="G94" i="16"/>
  <c r="G83" i="16"/>
  <c r="G18" i="16"/>
  <c r="G42" i="16"/>
  <c r="G66" i="16"/>
  <c r="G79" i="16"/>
  <c r="G10" i="16"/>
  <c r="G46" i="16"/>
  <c r="G60" i="16"/>
  <c r="G91" i="16"/>
  <c r="G75" i="16"/>
  <c r="G34" i="16"/>
  <c r="G50" i="16"/>
  <c r="G29" i="16"/>
  <c r="G55" i="16"/>
  <c r="G87" i="16"/>
  <c r="G26" i="16"/>
  <c r="G38" i="16"/>
  <c r="G54" i="16"/>
  <c r="G61" i="16"/>
  <c r="K4" i="16"/>
  <c r="J4" i="16"/>
  <c r="B4" i="11" l="1"/>
  <c r="C4" i="11" s="1"/>
  <c r="D5" i="11" s="1"/>
  <c r="C8" i="11"/>
  <c r="C12" i="11"/>
  <c r="C16" i="11"/>
  <c r="C20" i="11"/>
  <c r="C24" i="11"/>
  <c r="C28" i="11"/>
  <c r="C32" i="11"/>
  <c r="C36" i="11"/>
  <c r="C40" i="11"/>
  <c r="C44" i="11"/>
  <c r="C48" i="11"/>
  <c r="C52" i="11"/>
  <c r="C56" i="11"/>
  <c r="C60" i="11"/>
  <c r="C64" i="11"/>
  <c r="C68" i="11"/>
  <c r="C72" i="11"/>
  <c r="C76" i="11"/>
  <c r="C80" i="11"/>
  <c r="C84" i="11"/>
  <c r="C88" i="11"/>
  <c r="C92" i="11"/>
  <c r="C96" i="11"/>
  <c r="C5" i="11"/>
  <c r="C13" i="11"/>
  <c r="C21" i="11"/>
  <c r="C29" i="11"/>
  <c r="C33" i="11"/>
  <c r="C41" i="11"/>
  <c r="C49" i="11"/>
  <c r="C57" i="11"/>
  <c r="C61" i="11"/>
  <c r="C9" i="11"/>
  <c r="C17" i="11"/>
  <c r="C25" i="11"/>
  <c r="C37" i="11"/>
  <c r="C45" i="11"/>
  <c r="C53" i="11"/>
  <c r="C11" i="11"/>
  <c r="C19" i="11"/>
  <c r="C27" i="11"/>
  <c r="C35" i="11"/>
  <c r="C43" i="11"/>
  <c r="C51" i="11"/>
  <c r="C59" i="11"/>
  <c r="C66" i="11"/>
  <c r="C71" i="11"/>
  <c r="C77" i="11"/>
  <c r="C82" i="11"/>
  <c r="C87" i="11"/>
  <c r="C93" i="11"/>
  <c r="C15" i="11"/>
  <c r="C31" i="11"/>
  <c r="C39" i="11"/>
  <c r="C55" i="11"/>
  <c r="C69" i="11"/>
  <c r="C85" i="11"/>
  <c r="C95" i="11"/>
  <c r="C18" i="11"/>
  <c r="C34" i="11"/>
  <c r="C50" i="11"/>
  <c r="C65" i="11"/>
  <c r="C75" i="11"/>
  <c r="C86" i="11"/>
  <c r="C6" i="11"/>
  <c r="C14" i="11"/>
  <c r="C22" i="11"/>
  <c r="C30" i="11"/>
  <c r="C38" i="11"/>
  <c r="C46" i="11"/>
  <c r="C54" i="11"/>
  <c r="C62" i="11"/>
  <c r="C67" i="11"/>
  <c r="C73" i="11"/>
  <c r="C78" i="11"/>
  <c r="C83" i="11"/>
  <c r="C89" i="11"/>
  <c r="C94" i="11"/>
  <c r="C7" i="11"/>
  <c r="C23" i="11"/>
  <c r="C47" i="11"/>
  <c r="C63" i="11"/>
  <c r="C74" i="11"/>
  <c r="C79" i="11"/>
  <c r="C90" i="11"/>
  <c r="C10" i="11"/>
  <c r="C26" i="11"/>
  <c r="C42" i="11"/>
  <c r="C58" i="11"/>
  <c r="C70" i="11"/>
  <c r="C81" i="11"/>
  <c r="C91" i="11"/>
  <c r="K4" i="11"/>
  <c r="J4" i="11"/>
  <c r="G4" i="11"/>
  <c r="H4" i="11"/>
  <c r="B4" i="16"/>
  <c r="C4" i="16" s="1"/>
  <c r="D5" i="16" s="1"/>
  <c r="C35" i="16"/>
  <c r="C6" i="16"/>
  <c r="C14" i="16"/>
  <c r="C22" i="16"/>
  <c r="C30" i="16"/>
  <c r="C11" i="16"/>
  <c r="C19" i="16"/>
  <c r="C27" i="16"/>
  <c r="C95" i="16"/>
  <c r="C91" i="16"/>
  <c r="C87" i="16"/>
  <c r="C83" i="16"/>
  <c r="C79" i="16"/>
  <c r="C75" i="16"/>
  <c r="C71" i="16"/>
  <c r="C67" i="16"/>
  <c r="C63" i="16"/>
  <c r="C59" i="16"/>
  <c r="C55" i="16"/>
  <c r="C51" i="16"/>
  <c r="C47" i="16"/>
  <c r="C43" i="16"/>
  <c r="C39" i="16"/>
  <c r="C8" i="16"/>
  <c r="C16" i="16"/>
  <c r="C12" i="16"/>
  <c r="C20" i="16"/>
  <c r="C28" i="16"/>
  <c r="C36" i="16"/>
  <c r="C9" i="16"/>
  <c r="C17" i="16"/>
  <c r="C25" i="16"/>
  <c r="C33" i="16"/>
  <c r="C94" i="16"/>
  <c r="C90" i="16"/>
  <c r="C86" i="16"/>
  <c r="C82" i="16"/>
  <c r="C78" i="16"/>
  <c r="C74" i="16"/>
  <c r="C70" i="16"/>
  <c r="C66" i="16"/>
  <c r="C62" i="16"/>
  <c r="C58" i="16"/>
  <c r="C54" i="16"/>
  <c r="C50" i="16"/>
  <c r="C46" i="16"/>
  <c r="C42" i="16"/>
  <c r="C38" i="16"/>
  <c r="C10" i="16"/>
  <c r="C18" i="16"/>
  <c r="C26" i="16"/>
  <c r="C34" i="16"/>
  <c r="C5" i="16"/>
  <c r="C7" i="16"/>
  <c r="C15" i="16"/>
  <c r="C23" i="16"/>
  <c r="C31" i="16"/>
  <c r="C93" i="16"/>
  <c r="C89" i="16"/>
  <c r="C85" i="16"/>
  <c r="C81" i="16"/>
  <c r="C77" i="16"/>
  <c r="C73" i="16"/>
  <c r="C69" i="16"/>
  <c r="C65" i="16"/>
  <c r="C61" i="16"/>
  <c r="C57" i="16"/>
  <c r="C53" i="16"/>
  <c r="C49" i="16"/>
  <c r="C45" i="16"/>
  <c r="C41" i="16"/>
  <c r="C37" i="16"/>
  <c r="C84" i="16"/>
  <c r="C32" i="16"/>
  <c r="C29" i="16"/>
  <c r="C96" i="16"/>
  <c r="C80" i="16"/>
  <c r="C64" i="16"/>
  <c r="C48" i="16"/>
  <c r="C24" i="16"/>
  <c r="C21" i="16"/>
  <c r="C92" i="16"/>
  <c r="C76" i="16"/>
  <c r="C60" i="16"/>
  <c r="C44" i="16"/>
  <c r="C13" i="16"/>
  <c r="C88" i="16"/>
  <c r="C72" i="16"/>
  <c r="C56" i="16"/>
  <c r="C40" i="16"/>
  <c r="C68" i="16"/>
  <c r="C52" i="16"/>
  <c r="G4" i="16"/>
  <c r="H4" i="16"/>
  <c r="E4" i="11" l="1"/>
  <c r="H5" i="11"/>
  <c r="D6" i="11"/>
  <c r="K5" i="11"/>
  <c r="E4" i="16"/>
  <c r="H5" i="16"/>
  <c r="D6" i="16"/>
  <c r="K5" i="16"/>
  <c r="D7" i="11" l="1"/>
  <c r="E6" i="11" s="1"/>
  <c r="H6" i="11"/>
  <c r="K6" i="11"/>
  <c r="E5" i="11"/>
  <c r="E5" i="16"/>
  <c r="D7" i="16"/>
  <c r="H6" i="16"/>
  <c r="K6" i="16"/>
  <c r="D8" i="11" l="1"/>
  <c r="E7" i="11" s="1"/>
  <c r="H7" i="11"/>
  <c r="K7" i="11"/>
  <c r="D8" i="16"/>
  <c r="H7" i="16"/>
  <c r="K7" i="16"/>
  <c r="E7" i="16"/>
  <c r="E6" i="16"/>
  <c r="D9" i="11" l="1"/>
  <c r="E8" i="11" s="1"/>
  <c r="H8" i="11"/>
  <c r="K8" i="11"/>
  <c r="D9" i="16"/>
  <c r="E8" i="16" s="1"/>
  <c r="K8" i="16"/>
  <c r="H8" i="16"/>
  <c r="D10" i="11" l="1"/>
  <c r="H9" i="11"/>
  <c r="E9" i="11"/>
  <c r="K9" i="11"/>
  <c r="H9" i="16"/>
  <c r="K9" i="16"/>
  <c r="D10" i="16"/>
  <c r="E9" i="16"/>
  <c r="D11" i="11" l="1"/>
  <c r="E10" i="11" s="1"/>
  <c r="H10" i="11"/>
  <c r="K10" i="11"/>
  <c r="D11" i="16"/>
  <c r="E10" i="16" s="1"/>
  <c r="H10" i="16"/>
  <c r="K10" i="16"/>
  <c r="D12" i="11" l="1"/>
  <c r="E11" i="11" s="1"/>
  <c r="H11" i="11"/>
  <c r="K11" i="11"/>
  <c r="H11" i="16"/>
  <c r="D12" i="16"/>
  <c r="K11" i="16"/>
  <c r="E11" i="16"/>
  <c r="D13" i="11" l="1"/>
  <c r="E12" i="11" s="1"/>
  <c r="H12" i="11"/>
  <c r="K12" i="11"/>
  <c r="D13" i="16"/>
  <c r="H12" i="16"/>
  <c r="K12" i="16"/>
  <c r="D14" i="11" l="1"/>
  <c r="E13" i="11" s="1"/>
  <c r="H13" i="11"/>
  <c r="K13" i="11"/>
  <c r="E12" i="16"/>
  <c r="D14" i="16"/>
  <c r="H13" i="16"/>
  <c r="K13" i="16"/>
  <c r="D15" i="11" l="1"/>
  <c r="E14" i="11" s="1"/>
  <c r="H14" i="11"/>
  <c r="K14" i="11"/>
  <c r="E13" i="16"/>
  <c r="D15" i="16"/>
  <c r="H14" i="16"/>
  <c r="K14" i="16"/>
  <c r="D16" i="11" l="1"/>
  <c r="E15" i="11" s="1"/>
  <c r="H15" i="11"/>
  <c r="K15" i="11"/>
  <c r="E14" i="16"/>
  <c r="D16" i="16"/>
  <c r="H15" i="16"/>
  <c r="K15" i="16"/>
  <c r="D17" i="11" l="1"/>
  <c r="E16" i="11" s="1"/>
  <c r="H16" i="11"/>
  <c r="K16" i="11"/>
  <c r="D17" i="16"/>
  <c r="E16" i="16" s="1"/>
  <c r="H16" i="16"/>
  <c r="K16" i="16"/>
  <c r="E15" i="16"/>
  <c r="D18" i="11" l="1"/>
  <c r="E17" i="11" s="1"/>
  <c r="H17" i="11"/>
  <c r="K17" i="11"/>
  <c r="H17" i="16"/>
  <c r="K17" i="16"/>
  <c r="D18" i="16"/>
  <c r="E17" i="16"/>
  <c r="D19" i="11" l="1"/>
  <c r="E18" i="11" s="1"/>
  <c r="H18" i="11"/>
  <c r="K18" i="11"/>
  <c r="D19" i="16"/>
  <c r="H18" i="16"/>
  <c r="K18" i="16"/>
  <c r="D20" i="11" l="1"/>
  <c r="E19" i="11" s="1"/>
  <c r="H19" i="11"/>
  <c r="K19" i="11"/>
  <c r="E18" i="16"/>
  <c r="D20" i="16"/>
  <c r="H19" i="16"/>
  <c r="K19" i="16"/>
  <c r="E19" i="16"/>
  <c r="D21" i="11" l="1"/>
  <c r="E20" i="11" s="1"/>
  <c r="H20" i="11"/>
  <c r="K20" i="11"/>
  <c r="D21" i="16"/>
  <c r="E20" i="16" s="1"/>
  <c r="H20" i="16"/>
  <c r="K20" i="16"/>
  <c r="D22" i="11" l="1"/>
  <c r="E21" i="11" s="1"/>
  <c r="H21" i="11"/>
  <c r="K21" i="11"/>
  <c r="H21" i="16"/>
  <c r="K21" i="16"/>
  <c r="D22" i="16"/>
  <c r="D23" i="11" l="1"/>
  <c r="E22" i="11" s="1"/>
  <c r="H22" i="11"/>
  <c r="K22" i="11"/>
  <c r="E21" i="16"/>
  <c r="D23" i="16"/>
  <c r="H22" i="16"/>
  <c r="K22" i="16"/>
  <c r="D24" i="11" l="1"/>
  <c r="E23" i="11" s="1"/>
  <c r="H23" i="11"/>
  <c r="K23" i="11"/>
  <c r="E22" i="16"/>
  <c r="H23" i="16"/>
  <c r="K23" i="16"/>
  <c r="D24" i="16"/>
  <c r="E23" i="16" s="1"/>
  <c r="D25" i="11" l="1"/>
  <c r="E24" i="11" s="1"/>
  <c r="H24" i="11"/>
  <c r="K24" i="11"/>
  <c r="K24" i="16"/>
  <c r="D25" i="16"/>
  <c r="H24" i="16"/>
  <c r="D26" i="11" l="1"/>
  <c r="E25" i="11" s="1"/>
  <c r="H25" i="11"/>
  <c r="K25" i="11"/>
  <c r="D26" i="16"/>
  <c r="H25" i="16"/>
  <c r="K25" i="16"/>
  <c r="E24" i="16"/>
  <c r="D27" i="11" l="1"/>
  <c r="E26" i="11" s="1"/>
  <c r="H26" i="11"/>
  <c r="K26" i="11"/>
  <c r="H26" i="16"/>
  <c r="K26" i="16"/>
  <c r="D27" i="16"/>
  <c r="E25" i="16"/>
  <c r="D28" i="11" l="1"/>
  <c r="E27" i="11" s="1"/>
  <c r="H27" i="11"/>
  <c r="K27" i="11"/>
  <c r="D28" i="16"/>
  <c r="E27" i="16" s="1"/>
  <c r="H27" i="16"/>
  <c r="K27" i="16"/>
  <c r="E26" i="16"/>
  <c r="D29" i="11" l="1"/>
  <c r="E28" i="11" s="1"/>
  <c r="H28" i="11"/>
  <c r="K28" i="11"/>
  <c r="K28" i="16"/>
  <c r="D29" i="16"/>
  <c r="H28" i="16"/>
  <c r="E28" i="16"/>
  <c r="D30" i="11" l="1"/>
  <c r="E29" i="11" s="1"/>
  <c r="H29" i="11"/>
  <c r="K29" i="11"/>
  <c r="D30" i="16"/>
  <c r="E29" i="16" s="1"/>
  <c r="H29" i="16"/>
  <c r="K29" i="16"/>
  <c r="D31" i="11" l="1"/>
  <c r="E30" i="11" s="1"/>
  <c r="H30" i="11"/>
  <c r="K30" i="11"/>
  <c r="K30" i="16"/>
  <c r="D31" i="16"/>
  <c r="H30" i="16"/>
  <c r="E30" i="16"/>
  <c r="D32" i="11" l="1"/>
  <c r="E31" i="11" s="1"/>
  <c r="H31" i="11"/>
  <c r="K31" i="11"/>
  <c r="K31" i="16"/>
  <c r="D32" i="16"/>
  <c r="H31" i="16"/>
  <c r="D33" i="11" l="1"/>
  <c r="E32" i="11" s="1"/>
  <c r="H32" i="11"/>
  <c r="K32" i="11"/>
  <c r="D33" i="16"/>
  <c r="E32" i="16" s="1"/>
  <c r="H32" i="16"/>
  <c r="K32" i="16"/>
  <c r="E31" i="16"/>
  <c r="D34" i="11" l="1"/>
  <c r="E33" i="11" s="1"/>
  <c r="H33" i="11"/>
  <c r="K33" i="11"/>
  <c r="D34" i="16"/>
  <c r="K33" i="16"/>
  <c r="H33" i="16"/>
  <c r="D35" i="11" l="1"/>
  <c r="E34" i="11" s="1"/>
  <c r="H34" i="11"/>
  <c r="K34" i="11"/>
  <c r="D35" i="16"/>
  <c r="H34" i="16"/>
  <c r="K34" i="16"/>
  <c r="E33" i="16"/>
  <c r="D36" i="11" l="1"/>
  <c r="E35" i="11" s="1"/>
  <c r="H35" i="11"/>
  <c r="K35" i="11"/>
  <c r="D36" i="16"/>
  <c r="H35" i="16"/>
  <c r="K35" i="16"/>
  <c r="E34" i="16"/>
  <c r="D37" i="11" l="1"/>
  <c r="E36" i="11" s="1"/>
  <c r="H36" i="11"/>
  <c r="K36" i="11"/>
  <c r="H36" i="16"/>
  <c r="D37" i="16"/>
  <c r="K36" i="16"/>
  <c r="E35" i="16"/>
  <c r="D38" i="11" l="1"/>
  <c r="H37" i="11"/>
  <c r="E37" i="11"/>
  <c r="K37" i="11"/>
  <c r="H37" i="16"/>
  <c r="D38" i="16"/>
  <c r="K37" i="16"/>
  <c r="E36" i="16"/>
  <c r="D39" i="11" l="1"/>
  <c r="E38" i="11" s="1"/>
  <c r="H38" i="11"/>
  <c r="K38" i="11"/>
  <c r="K38" i="16"/>
  <c r="H38" i="16"/>
  <c r="D39" i="16"/>
  <c r="E38" i="16"/>
  <c r="E37" i="16"/>
  <c r="D40" i="11" l="1"/>
  <c r="E39" i="11" s="1"/>
  <c r="H39" i="11"/>
  <c r="K39" i="11"/>
  <c r="D40" i="16"/>
  <c r="K39" i="16"/>
  <c r="H39" i="16"/>
  <c r="D41" i="11" l="1"/>
  <c r="E40" i="11" s="1"/>
  <c r="H40" i="11"/>
  <c r="K40" i="11"/>
  <c r="D41" i="16"/>
  <c r="K40" i="16"/>
  <c r="H40" i="16"/>
  <c r="E39" i="16"/>
  <c r="D42" i="11" l="1"/>
  <c r="E41" i="11" s="1"/>
  <c r="H41" i="11"/>
  <c r="K41" i="11"/>
  <c r="D42" i="16"/>
  <c r="K41" i="16"/>
  <c r="H41" i="16"/>
  <c r="E40" i="16"/>
  <c r="D43" i="11" l="1"/>
  <c r="E42" i="11" s="1"/>
  <c r="H42" i="11"/>
  <c r="K42" i="11"/>
  <c r="E41" i="16"/>
  <c r="D43" i="16"/>
  <c r="K42" i="16"/>
  <c r="H42" i="16"/>
  <c r="D44" i="11" l="1"/>
  <c r="H43" i="11"/>
  <c r="E43" i="11"/>
  <c r="K43" i="11"/>
  <c r="D44" i="16"/>
  <c r="K43" i="16"/>
  <c r="H43" i="16"/>
  <c r="E42" i="16"/>
  <c r="D45" i="11" l="1"/>
  <c r="E44" i="11" s="1"/>
  <c r="H44" i="11"/>
  <c r="K44" i="11"/>
  <c r="K44" i="16"/>
  <c r="H44" i="16"/>
  <c r="D45" i="16"/>
  <c r="E44" i="16"/>
  <c r="E43" i="16"/>
  <c r="D46" i="11" l="1"/>
  <c r="E45" i="11" s="1"/>
  <c r="H45" i="11"/>
  <c r="K45" i="11"/>
  <c r="D46" i="16"/>
  <c r="K45" i="16"/>
  <c r="H45" i="16"/>
  <c r="D47" i="11" l="1"/>
  <c r="E46" i="11" s="1"/>
  <c r="H46" i="11"/>
  <c r="K46" i="11"/>
  <c r="E45" i="16"/>
  <c r="K46" i="16"/>
  <c r="H46" i="16"/>
  <c r="D47" i="16"/>
  <c r="D48" i="11" l="1"/>
  <c r="E47" i="11" s="1"/>
  <c r="H47" i="11"/>
  <c r="K47" i="11"/>
  <c r="D48" i="16"/>
  <c r="K47" i="16"/>
  <c r="H47" i="16"/>
  <c r="E47" i="16"/>
  <c r="E46" i="16"/>
  <c r="D49" i="11" l="1"/>
  <c r="E48" i="11" s="1"/>
  <c r="H48" i="11"/>
  <c r="K48" i="11"/>
  <c r="D49" i="16"/>
  <c r="E48" i="16" s="1"/>
  <c r="K48" i="16"/>
  <c r="H48" i="16"/>
  <c r="D50" i="11" l="1"/>
  <c r="E49" i="11" s="1"/>
  <c r="H49" i="11"/>
  <c r="K49" i="11"/>
  <c r="D50" i="16"/>
  <c r="K49" i="16"/>
  <c r="H49" i="16"/>
  <c r="E49" i="16"/>
  <c r="D51" i="11" l="1"/>
  <c r="E50" i="11" s="1"/>
  <c r="H50" i="11"/>
  <c r="K50" i="11"/>
  <c r="H50" i="16"/>
  <c r="D51" i="16"/>
  <c r="K50" i="16"/>
  <c r="E50" i="16"/>
  <c r="D52" i="11" l="1"/>
  <c r="E51" i="11" s="1"/>
  <c r="H51" i="11"/>
  <c r="K51" i="11"/>
  <c r="D52" i="16"/>
  <c r="E51" i="16" s="1"/>
  <c r="K51" i="16"/>
  <c r="H51" i="16"/>
  <c r="D53" i="11" l="1"/>
  <c r="E52" i="11" s="1"/>
  <c r="H52" i="11"/>
  <c r="K52" i="11"/>
  <c r="H52" i="16"/>
  <c r="K52" i="16"/>
  <c r="D53" i="16"/>
  <c r="E52" i="16" s="1"/>
  <c r="D54" i="11" l="1"/>
  <c r="E53" i="11" s="1"/>
  <c r="H53" i="11"/>
  <c r="K53" i="11"/>
  <c r="H53" i="16"/>
  <c r="D54" i="16"/>
  <c r="K53" i="16"/>
  <c r="D55" i="11" l="1"/>
  <c r="E54" i="11" s="1"/>
  <c r="H54" i="11"/>
  <c r="K54" i="11"/>
  <c r="H54" i="16"/>
  <c r="D55" i="16"/>
  <c r="K54" i="16"/>
  <c r="E53" i="16"/>
  <c r="D56" i="11" l="1"/>
  <c r="E55" i="11" s="1"/>
  <c r="H55" i="11"/>
  <c r="K55" i="11"/>
  <c r="H55" i="16"/>
  <c r="D56" i="16"/>
  <c r="K55" i="16"/>
  <c r="E54" i="16"/>
  <c r="D57" i="11" l="1"/>
  <c r="E56" i="11" s="1"/>
  <c r="H56" i="11"/>
  <c r="K56" i="11"/>
  <c r="H56" i="16"/>
  <c r="D57" i="16"/>
  <c r="K56" i="16"/>
  <c r="E56" i="16"/>
  <c r="E55" i="16"/>
  <c r="D58" i="11" l="1"/>
  <c r="E57" i="11" s="1"/>
  <c r="H57" i="11"/>
  <c r="K57" i="11"/>
  <c r="H57" i="16"/>
  <c r="K57" i="16"/>
  <c r="D58" i="16"/>
  <c r="E57" i="16"/>
  <c r="D59" i="11" l="1"/>
  <c r="E58" i="11" s="1"/>
  <c r="H58" i="11"/>
  <c r="K58" i="11"/>
  <c r="K58" i="16"/>
  <c r="H58" i="16"/>
  <c r="D59" i="16"/>
  <c r="E58" i="16" s="1"/>
  <c r="D60" i="11" l="1"/>
  <c r="E59" i="11" s="1"/>
  <c r="H59" i="11"/>
  <c r="K59" i="11"/>
  <c r="D60" i="16"/>
  <c r="E59" i="16" s="1"/>
  <c r="K59" i="16"/>
  <c r="H59" i="16"/>
  <c r="D61" i="11" l="1"/>
  <c r="E60" i="11" s="1"/>
  <c r="H60" i="11"/>
  <c r="K60" i="11"/>
  <c r="D61" i="16"/>
  <c r="K60" i="16"/>
  <c r="H60" i="16"/>
  <c r="E60" i="16"/>
  <c r="D62" i="11" l="1"/>
  <c r="E61" i="11" s="1"/>
  <c r="H61" i="11"/>
  <c r="K61" i="11"/>
  <c r="H61" i="16"/>
  <c r="D62" i="16"/>
  <c r="E61" i="16" s="1"/>
  <c r="K61" i="16"/>
  <c r="D63" i="11" l="1"/>
  <c r="E62" i="11" s="1"/>
  <c r="H62" i="11"/>
  <c r="K62" i="11"/>
  <c r="H62" i="16"/>
  <c r="D63" i="16"/>
  <c r="K62" i="16"/>
  <c r="E62" i="16"/>
  <c r="D64" i="11" l="1"/>
  <c r="E63" i="11" s="1"/>
  <c r="H63" i="11"/>
  <c r="K63" i="11"/>
  <c r="H63" i="16"/>
  <c r="D64" i="16"/>
  <c r="E63" i="16" s="1"/>
  <c r="K63" i="16"/>
  <c r="D65" i="11" l="1"/>
  <c r="E64" i="11" s="1"/>
  <c r="H64" i="11"/>
  <c r="K64" i="11"/>
  <c r="H64" i="16"/>
  <c r="K64" i="16"/>
  <c r="D65" i="16"/>
  <c r="D66" i="11" l="1"/>
  <c r="E65" i="11" s="1"/>
  <c r="H65" i="11"/>
  <c r="K65" i="11"/>
  <c r="H65" i="16"/>
  <c r="D66" i="16"/>
  <c r="E65" i="16" s="1"/>
  <c r="K65" i="16"/>
  <c r="E64" i="16"/>
  <c r="D67" i="11" l="1"/>
  <c r="E66" i="11" s="1"/>
  <c r="H66" i="11"/>
  <c r="K66" i="11"/>
  <c r="H66" i="16"/>
  <c r="D67" i="16"/>
  <c r="E66" i="16" s="1"/>
  <c r="K66" i="16"/>
  <c r="D68" i="11" l="1"/>
  <c r="E67" i="11" s="1"/>
  <c r="H67" i="11"/>
  <c r="K67" i="11"/>
  <c r="H67" i="16"/>
  <c r="D68" i="16"/>
  <c r="K67" i="16"/>
  <c r="E67" i="16"/>
  <c r="D69" i="11" l="1"/>
  <c r="E68" i="11" s="1"/>
  <c r="H68" i="11"/>
  <c r="K68" i="11"/>
  <c r="H68" i="16"/>
  <c r="K68" i="16"/>
  <c r="D69" i="16"/>
  <c r="E68" i="16"/>
  <c r="D70" i="11" l="1"/>
  <c r="E69" i="11" s="1"/>
  <c r="H69" i="11"/>
  <c r="K69" i="11"/>
  <c r="H69" i="16"/>
  <c r="K69" i="16"/>
  <c r="D70" i="16"/>
  <c r="D71" i="11" l="1"/>
  <c r="E70" i="11" s="1"/>
  <c r="H70" i="11"/>
  <c r="K70" i="11"/>
  <c r="K70" i="16"/>
  <c r="H70" i="16"/>
  <c r="D71" i="16"/>
  <c r="E69" i="16"/>
  <c r="D72" i="11" l="1"/>
  <c r="E71" i="11" s="1"/>
  <c r="H71" i="11"/>
  <c r="K71" i="11"/>
  <c r="D72" i="16"/>
  <c r="E71" i="16" s="1"/>
  <c r="K71" i="16"/>
  <c r="H71" i="16"/>
  <c r="E70" i="16"/>
  <c r="D73" i="11" l="1"/>
  <c r="E72" i="11" s="1"/>
  <c r="H72" i="11"/>
  <c r="K72" i="11"/>
  <c r="H72" i="16"/>
  <c r="D73" i="16"/>
  <c r="E72" i="16" s="1"/>
  <c r="K72" i="16"/>
  <c r="D74" i="11" l="1"/>
  <c r="E73" i="11" s="1"/>
  <c r="H73" i="11"/>
  <c r="K73" i="11"/>
  <c r="D74" i="16"/>
  <c r="E73" i="16" s="1"/>
  <c r="K73" i="16"/>
  <c r="H73" i="16"/>
  <c r="D75" i="11" l="1"/>
  <c r="E74" i="11" s="1"/>
  <c r="H74" i="11"/>
  <c r="K74" i="11"/>
  <c r="H74" i="16"/>
  <c r="K74" i="16"/>
  <c r="D75" i="16"/>
  <c r="D76" i="11" l="1"/>
  <c r="E75" i="11" s="1"/>
  <c r="H75" i="11"/>
  <c r="K75" i="11"/>
  <c r="E74" i="16"/>
  <c r="H75" i="16"/>
  <c r="K75" i="16"/>
  <c r="D76" i="16"/>
  <c r="D77" i="11" l="1"/>
  <c r="E76" i="11" s="1"/>
  <c r="H76" i="11"/>
  <c r="K76" i="11"/>
  <c r="H76" i="16"/>
  <c r="K76" i="16"/>
  <c r="D77" i="16"/>
  <c r="E75" i="16"/>
  <c r="D78" i="11" l="1"/>
  <c r="E77" i="11" s="1"/>
  <c r="H77" i="11"/>
  <c r="K77" i="11"/>
  <c r="H77" i="16"/>
  <c r="D78" i="16"/>
  <c r="E77" i="16" s="1"/>
  <c r="K77" i="16"/>
  <c r="E76" i="16"/>
  <c r="D79" i="11" l="1"/>
  <c r="E78" i="11" s="1"/>
  <c r="H78" i="11"/>
  <c r="K78" i="11"/>
  <c r="H78" i="16"/>
  <c r="K78" i="16"/>
  <c r="D79" i="16"/>
  <c r="D80" i="11" l="1"/>
  <c r="E79" i="11" s="1"/>
  <c r="H79" i="11"/>
  <c r="K79" i="11"/>
  <c r="E78" i="16"/>
  <c r="D80" i="16"/>
  <c r="H79" i="16"/>
  <c r="K79" i="16"/>
  <c r="D81" i="11" l="1"/>
  <c r="E80" i="11" s="1"/>
  <c r="H80" i="11"/>
  <c r="K80" i="11"/>
  <c r="K80" i="16"/>
  <c r="H80" i="16"/>
  <c r="D81" i="16"/>
  <c r="E80" i="16"/>
  <c r="E79" i="16"/>
  <c r="D82" i="11" l="1"/>
  <c r="E81" i="11" s="1"/>
  <c r="H81" i="11"/>
  <c r="K81" i="11"/>
  <c r="H81" i="16"/>
  <c r="D82" i="16"/>
  <c r="E81" i="16" s="1"/>
  <c r="K81" i="16"/>
  <c r="D83" i="11" l="1"/>
  <c r="E82" i="11" s="1"/>
  <c r="H82" i="11"/>
  <c r="K82" i="11"/>
  <c r="H82" i="16"/>
  <c r="K82" i="16"/>
  <c r="D83" i="16"/>
  <c r="E82" i="16"/>
  <c r="D84" i="11" l="1"/>
  <c r="E83" i="11" s="1"/>
  <c r="H83" i="11"/>
  <c r="K83" i="11"/>
  <c r="D84" i="16"/>
  <c r="E83" i="16" s="1"/>
  <c r="K83" i="16"/>
  <c r="H83" i="16"/>
  <c r="D85" i="11" l="1"/>
  <c r="E84" i="11" s="1"/>
  <c r="H84" i="11"/>
  <c r="K84" i="11"/>
  <c r="H84" i="16"/>
  <c r="K84" i="16"/>
  <c r="D85" i="16"/>
  <c r="D86" i="11" l="1"/>
  <c r="E85" i="11" s="1"/>
  <c r="H85" i="11"/>
  <c r="K85" i="11"/>
  <c r="H85" i="16"/>
  <c r="K85" i="16"/>
  <c r="D86" i="16"/>
  <c r="E85" i="16" s="1"/>
  <c r="E84" i="16"/>
  <c r="D87" i="11" l="1"/>
  <c r="E86" i="11" s="1"/>
  <c r="H86" i="11"/>
  <c r="K86" i="11"/>
  <c r="H86" i="16"/>
  <c r="D87" i="16"/>
  <c r="K86" i="16"/>
  <c r="E86" i="16"/>
  <c r="D88" i="11" l="1"/>
  <c r="E87" i="11" s="1"/>
  <c r="H87" i="11"/>
  <c r="K87" i="11"/>
  <c r="H87" i="16"/>
  <c r="D88" i="16"/>
  <c r="K87" i="16"/>
  <c r="E87" i="16"/>
  <c r="D89" i="11" l="1"/>
  <c r="E88" i="11" s="1"/>
  <c r="H88" i="11"/>
  <c r="K88" i="11"/>
  <c r="H88" i="16"/>
  <c r="D89" i="16"/>
  <c r="K88" i="16"/>
  <c r="E88" i="16"/>
  <c r="D90" i="11" l="1"/>
  <c r="E89" i="11" s="1"/>
  <c r="H89" i="11"/>
  <c r="K89" i="11"/>
  <c r="H89" i="16"/>
  <c r="D90" i="16"/>
  <c r="K89" i="16"/>
  <c r="E89" i="16"/>
  <c r="D91" i="11" l="1"/>
  <c r="E90" i="11" s="1"/>
  <c r="H90" i="11"/>
  <c r="K90" i="11"/>
  <c r="H90" i="16"/>
  <c r="D91" i="16"/>
  <c r="K90" i="16"/>
  <c r="E90" i="16"/>
  <c r="D92" i="11" l="1"/>
  <c r="E91" i="11" s="1"/>
  <c r="H91" i="11"/>
  <c r="K91" i="11"/>
  <c r="D92" i="16"/>
  <c r="H91" i="16"/>
  <c r="K91" i="16"/>
  <c r="D93" i="11" l="1"/>
  <c r="E92" i="11" s="1"/>
  <c r="H92" i="11"/>
  <c r="K92" i="11"/>
  <c r="E91" i="16"/>
  <c r="D93" i="16"/>
  <c r="H92" i="16"/>
  <c r="K92" i="16"/>
  <c r="D94" i="11" l="1"/>
  <c r="E93" i="11" s="1"/>
  <c r="H93" i="11"/>
  <c r="K93" i="11"/>
  <c r="E92" i="16"/>
  <c r="D94" i="16"/>
  <c r="K93" i="16"/>
  <c r="H93" i="16"/>
  <c r="D95" i="11" l="1"/>
  <c r="E94" i="11" s="1"/>
  <c r="H94" i="11"/>
  <c r="K94" i="11"/>
  <c r="D95" i="16"/>
  <c r="H94" i="16"/>
  <c r="K94" i="16"/>
  <c r="E93" i="16"/>
  <c r="D96" i="11" l="1"/>
  <c r="E95" i="11" s="1"/>
  <c r="H95" i="11"/>
  <c r="K95" i="11"/>
  <c r="E94" i="16"/>
  <c r="D96" i="16"/>
  <c r="H95" i="16"/>
  <c r="K95" i="16"/>
  <c r="H96" i="11" l="1"/>
  <c r="E96" i="11"/>
  <c r="K96" i="11"/>
  <c r="H96" i="16"/>
  <c r="K96" i="16"/>
  <c r="E96" i="16"/>
  <c r="E95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<sst xmlns="http://schemas.openxmlformats.org/spreadsheetml/2006/main" count="170" uniqueCount="75">
  <si>
    <t>Tabla de Decrementos Múltiples</t>
  </si>
  <si>
    <t>qx (tau)</t>
  </si>
  <si>
    <t>px (tau)</t>
  </si>
  <si>
    <t>Tasa</t>
  </si>
  <si>
    <t>Radix</t>
  </si>
  <si>
    <t>lx (tau)</t>
  </si>
  <si>
    <t>dx (tau)</t>
  </si>
  <si>
    <t>Dx (tau)</t>
  </si>
  <si>
    <t>Nx (tau)</t>
  </si>
  <si>
    <t>Sx (tau)</t>
  </si>
  <si>
    <t>Nacional</t>
  </si>
  <si>
    <t>Duración del matrimonio (x)</t>
  </si>
  <si>
    <t>x: Tiempo de matrimonio</t>
  </si>
  <si>
    <t>(x)</t>
  </si>
  <si>
    <t>qx ' (a)</t>
  </si>
  <si>
    <t>qx ' (j)</t>
  </si>
  <si>
    <t>qx (a)</t>
  </si>
  <si>
    <t>qx (j)</t>
  </si>
  <si>
    <t>px (a)</t>
  </si>
  <si>
    <t>dx (a)</t>
  </si>
  <si>
    <t>Cx (a)</t>
  </si>
  <si>
    <t>Mx (a)</t>
  </si>
  <si>
    <t>Rx (a)</t>
  </si>
  <si>
    <t>px (j)</t>
  </si>
  <si>
    <t>dx (j)</t>
  </si>
  <si>
    <t>Cx (j)</t>
  </si>
  <si>
    <t>Mx (j)</t>
  </si>
  <si>
    <t>Rx (j)</t>
  </si>
  <si>
    <t>Divorcios administrativos</t>
  </si>
  <si>
    <t>Divorcios judiciales</t>
  </si>
  <si>
    <t>mx</t>
  </si>
  <si>
    <t>qx</t>
  </si>
  <si>
    <t>*Lugar en el que se realizó el trámite de divorcio</t>
  </si>
  <si>
    <t>(x)**</t>
  </si>
  <si>
    <t>** Duración social: Tiempo transcurrido entre la fecha de celebración del matrimonio y la fecha de presentación de la demanda de divorcio o solicitud de divorcio</t>
  </si>
  <si>
    <r>
      <t>Nota 1: Estado Puebla:</t>
    </r>
    <r>
      <rPr>
        <b/>
        <sz val="11"/>
        <color theme="1"/>
        <rFont val="Calibri"/>
        <family val="2"/>
        <scheme val="minor"/>
      </rPr>
      <t xml:space="preserve"> 21, Municipio Heroica Puebla de Zaragoza: 114</t>
    </r>
    <r>
      <rPr>
        <sz val="11"/>
        <color theme="1"/>
        <rFont val="Calibri"/>
        <family val="2"/>
        <scheme val="minor"/>
      </rPr>
      <t xml:space="preserve"> en base de datos CSV del INEGI</t>
    </r>
  </si>
  <si>
    <r>
      <t xml:space="preserve">Nota 2: Para el </t>
    </r>
    <r>
      <rPr>
        <b/>
        <sz val="11"/>
        <color theme="1"/>
        <rFont val="Calibri"/>
        <family val="2"/>
        <scheme val="minor"/>
      </rPr>
      <t xml:space="preserve">divorcio administrativo </t>
    </r>
    <r>
      <rPr>
        <sz val="11"/>
        <color theme="1"/>
        <rFont val="Calibri"/>
        <family val="2"/>
        <scheme val="minor"/>
      </rPr>
      <t xml:space="preserve">se tomó en cuenta la </t>
    </r>
    <r>
      <rPr>
        <b/>
        <sz val="11"/>
        <color theme="1"/>
        <rFont val="Calibri"/>
        <family val="2"/>
        <scheme val="minor"/>
      </rPr>
      <t xml:space="preserve">duración judicial </t>
    </r>
    <r>
      <rPr>
        <sz val="11"/>
        <color theme="1"/>
        <rFont val="Calibri"/>
        <family val="2"/>
        <scheme val="minor"/>
      </rPr>
      <t xml:space="preserve">y para el </t>
    </r>
    <r>
      <rPr>
        <b/>
        <sz val="11"/>
        <color theme="1"/>
        <rFont val="Calibri"/>
        <family val="2"/>
        <scheme val="minor"/>
      </rPr>
      <t xml:space="preserve">divorcio judicial </t>
    </r>
    <r>
      <rPr>
        <sz val="11"/>
        <color theme="1"/>
        <rFont val="Calibri"/>
        <family val="2"/>
        <scheme val="minor"/>
      </rPr>
      <t xml:space="preserve">se tomó en cuenta la </t>
    </r>
    <r>
      <rPr>
        <b/>
        <sz val="11"/>
        <color theme="1"/>
        <rFont val="Calibri"/>
        <family val="2"/>
        <scheme val="minor"/>
      </rPr>
      <t>duración social</t>
    </r>
  </si>
  <si>
    <t>** Duración legal: Tiempo transcurrido entre la fecha de celebración del matrimonio y la fecha de resolución o sentencia ejecutoria del divorcio</t>
  </si>
  <si>
    <t>Tabla de divorcios - México* - 2019</t>
  </si>
  <si>
    <t>Tabla de divorcios - Ciudad de Puebla* - 2019</t>
  </si>
  <si>
    <r>
      <t xml:space="preserve">Nota: Para el </t>
    </r>
    <r>
      <rPr>
        <b/>
        <sz val="11"/>
        <color theme="1"/>
        <rFont val="Calibri"/>
        <family val="2"/>
        <scheme val="minor"/>
      </rPr>
      <t xml:space="preserve">divorcio administrativo </t>
    </r>
    <r>
      <rPr>
        <sz val="11"/>
        <color theme="1"/>
        <rFont val="Calibri"/>
        <family val="2"/>
        <scheme val="minor"/>
      </rPr>
      <t xml:space="preserve">se tomó en cuenta la </t>
    </r>
    <r>
      <rPr>
        <b/>
        <sz val="11"/>
        <color theme="1"/>
        <rFont val="Calibri"/>
        <family val="2"/>
        <scheme val="minor"/>
      </rPr>
      <t xml:space="preserve">duración judicial </t>
    </r>
    <r>
      <rPr>
        <sz val="11"/>
        <color theme="1"/>
        <rFont val="Calibri"/>
        <family val="2"/>
        <scheme val="minor"/>
      </rPr>
      <t xml:space="preserve">y para el </t>
    </r>
    <r>
      <rPr>
        <b/>
        <sz val="11"/>
        <color theme="1"/>
        <rFont val="Calibri"/>
        <family val="2"/>
        <scheme val="minor"/>
      </rPr>
      <t xml:space="preserve">divorcio judicial </t>
    </r>
    <r>
      <rPr>
        <sz val="11"/>
        <color theme="1"/>
        <rFont val="Calibri"/>
        <family val="2"/>
        <scheme val="minor"/>
      </rPr>
      <t xml:space="preserve">se tomó en cuenta la </t>
    </r>
    <r>
      <rPr>
        <b/>
        <sz val="11"/>
        <color theme="1"/>
        <rFont val="Calibri"/>
        <family val="2"/>
        <scheme val="minor"/>
      </rPr>
      <t>duración social</t>
    </r>
  </si>
  <si>
    <t>Tabla de divorcios - Ciudad de Puebla - 2019</t>
  </si>
  <si>
    <t>Matrimonios existentes (netos)</t>
  </si>
  <si>
    <t>Matrimonios (brutos)</t>
  </si>
  <si>
    <t>Ciudad de Puebla</t>
  </si>
  <si>
    <t>Madera</t>
  </si>
  <si>
    <t>Cristal</t>
  </si>
  <si>
    <t>Bronce</t>
  </si>
  <si>
    <t>Plata</t>
  </si>
  <si>
    <t>Oro</t>
  </si>
  <si>
    <t>Diamante</t>
  </si>
  <si>
    <t>Producto</t>
  </si>
  <si>
    <t>Ahorro</t>
  </si>
  <si>
    <t>Seguro</t>
  </si>
  <si>
    <t>Valor actuarial</t>
  </si>
  <si>
    <t>Monto de beneficio</t>
  </si>
  <si>
    <t>Tipo de beneficio</t>
  </si>
  <si>
    <t>Duración de la cobertura</t>
  </si>
  <si>
    <t>Function Seguro_TemporalA(x, SA, n, Optional w As String = "TD_Nacional")</t>
  </si>
  <si>
    <t>Function Seguro_Dotal_Puro(x, SA, n, Optional w As String = "TD_Nacional")</t>
  </si>
  <si>
    <t>Function Anualidad_Temporal(x, SA, n, Optional w As String = "TD_Nacional")</t>
  </si>
  <si>
    <t>PNU</t>
  </si>
  <si>
    <t>PNN</t>
  </si>
  <si>
    <t>*Las primas se calculan en valores anuales</t>
  </si>
  <si>
    <t>**En caso de ser necesario, o bien, opcional</t>
  </si>
  <si>
    <t>1 o 2 o 4</t>
  </si>
  <si>
    <t>2** y 3</t>
  </si>
  <si>
    <t>(1* y 4) o (2* y 4)</t>
  </si>
  <si>
    <r>
      <t xml:space="preserve">Tabla de precios de los productos en la Ciudad de Puebla para </t>
    </r>
    <r>
      <rPr>
        <b/>
        <sz val="12"/>
        <color theme="5"/>
        <rFont val="Calibri"/>
        <family val="2"/>
        <scheme val="minor"/>
      </rPr>
      <t>recién casados</t>
    </r>
  </si>
  <si>
    <r>
      <t xml:space="preserve">Tabla de precios de los productos en México para </t>
    </r>
    <r>
      <rPr>
        <b/>
        <sz val="12"/>
        <color theme="5"/>
        <rFont val="Calibri"/>
        <family val="2"/>
        <scheme val="minor"/>
      </rPr>
      <t>recién casados</t>
    </r>
  </si>
  <si>
    <t>Gastos en esquema mexicano</t>
  </si>
  <si>
    <t>Administración (alfa)</t>
  </si>
  <si>
    <t>Margen de seguridad (gamma)</t>
  </si>
  <si>
    <t>PT</t>
  </si>
  <si>
    <t>Adquisición* (beta)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</si>
</sst>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%"/>
    <numFmt numFmtId="165" formatCode="0.000"/>
    <numFmt numFmtId="166" formatCode="_-* #,##0_-;\-* #,##0_-;_-* &quot;-&quot;??_-;_-@_-"/>
    <numFmt numFmtId="167" formatCode="_-* #,##0.0000000_-;\-* #,##0.0000000_-;_-* &quot;-&quot;??_-;_-@_-"/>
    <numFmt numFmtId="168" formatCode="0.0000000"/>
    <numFmt numFmtId="169" formatCode="_(&quot;$&quot;* #,##0.00_);_(&quot;$&quot;* \(#,##0.00\);_(&quot;$&quot;* &quot;-&quot;??_);_(@_)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5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rgb="FFFFEB9C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4" fillId="6" borderId="0" applyNumberFormat="0" applyBorder="0" applyAlignment="0" applyProtection="0"/>
    <xf numFmtId="0" fontId="2" fillId="15" borderId="0" applyNumberFormat="0" applyBorder="0" applyAlignment="0" applyProtection="0"/>
    <xf numFmtId="44" fontId="2" fillId="0" borderId="0" applyFont="0" applyFill="0" applyBorder="0" applyAlignment="0" applyProtection="0"/>
    <xf numFmtId="0" fontId="7" fillId="0" borderId="0"/>
    <xf numFmtId="169" fontId="7" fillId="0" borderId="0" applyFont="0" applyFill="0" applyBorder="0" applyAlignment="0" applyProtection="0"/>
  </cellStyleXfs>
  <cellXfs count="109">
    <xf numFmtId="0" fontId="0" fillId="0" borderId="0" xfId="0"/>
    <xf numFmtId="0" fontId="0" fillId="2" borderId="0" xfId="0" applyFill="1"/>
    <xf numFmtId="0" fontId="1" fillId="2" borderId="0" xfId="0" applyFont="1" applyFill="1"/>
    <xf numFmtId="165" fontId="0" fillId="2" borderId="0" xfId="0" applyNumberFormat="1" applyFill="1"/>
    <xf numFmtId="0" fontId="5" fillId="2" borderId="0" xfId="0" applyFont="1" applyFill="1"/>
    <xf numFmtId="0" fontId="0" fillId="9" borderId="1" xfId="0" applyFill="1" applyBorder="1"/>
    <xf numFmtId="0" fontId="0" fillId="9" borderId="2" xfId="0" applyFill="1" applyBorder="1"/>
    <xf numFmtId="0" fontId="0" fillId="10" borderId="2" xfId="0" applyFill="1" applyBorder="1"/>
    <xf numFmtId="0" fontId="1" fillId="11" borderId="4" xfId="0" applyFont="1" applyFill="1" applyBorder="1"/>
    <xf numFmtId="0" fontId="1" fillId="7" borderId="3" xfId="0" applyFont="1" applyFill="1" applyBorder="1"/>
    <xf numFmtId="0" fontId="1" fillId="7" borderId="4" xfId="0" applyFont="1" applyFill="1" applyBorder="1"/>
    <xf numFmtId="0" fontId="1" fillId="8" borderId="4" xfId="0" applyFont="1" applyFill="1" applyBorder="1"/>
    <xf numFmtId="0" fontId="0" fillId="12" borderId="2" xfId="0" applyFill="1" applyBorder="1"/>
    <xf numFmtId="0" fontId="0" fillId="14" borderId="6" xfId="0" applyFill="1" applyBorder="1" applyAlignment="1">
      <alignment horizontal="center"/>
    </xf>
    <xf numFmtId="0" fontId="0" fillId="14" borderId="5" xfId="0" applyFill="1" applyBorder="1" applyAlignment="1">
      <alignment horizontal="center"/>
    </xf>
    <xf numFmtId="0" fontId="6" fillId="7" borderId="1" xfId="5" applyFont="1" applyFill="1" applyBorder="1"/>
    <xf numFmtId="0" fontId="6" fillId="5" borderId="1" xfId="5" applyFont="1" applyBorder="1"/>
    <xf numFmtId="165" fontId="6" fillId="5" borderId="1" xfId="5" applyNumberFormat="1" applyFont="1" applyBorder="1"/>
    <xf numFmtId="0" fontId="6" fillId="4" borderId="1" xfId="4" applyFont="1" applyBorder="1"/>
    <xf numFmtId="165" fontId="6" fillId="4" borderId="1" xfId="4" applyNumberFormat="1" applyFont="1" applyBorder="1"/>
    <xf numFmtId="0" fontId="6" fillId="11" borderId="1" xfId="3" applyFont="1" applyFill="1" applyBorder="1"/>
    <xf numFmtId="0" fontId="6" fillId="13" borderId="1" xfId="0" applyFont="1" applyFill="1" applyBorder="1" applyAlignment="1">
      <alignment horizontal="center"/>
    </xf>
    <xf numFmtId="0" fontId="6" fillId="13" borderId="10" xfId="0" applyFont="1" applyFill="1" applyBorder="1"/>
    <xf numFmtId="0" fontId="6" fillId="11" borderId="2" xfId="3" applyFont="1" applyFill="1" applyBorder="1"/>
    <xf numFmtId="0" fontId="0" fillId="14" borderId="1" xfId="0" applyFill="1" applyBorder="1"/>
    <xf numFmtId="166" fontId="0" fillId="12" borderId="1" xfId="1" applyNumberFormat="1" applyFont="1" applyFill="1" applyBorder="1"/>
    <xf numFmtId="167" fontId="0" fillId="9" borderId="1" xfId="1" applyNumberFormat="1" applyFont="1" applyFill="1" applyBorder="1"/>
    <xf numFmtId="166" fontId="0" fillId="9" borderId="1" xfId="1" applyNumberFormat="1" applyFont="1" applyFill="1" applyBorder="1"/>
    <xf numFmtId="167" fontId="0" fillId="10" borderId="1" xfId="1" applyNumberFormat="1" applyFont="1" applyFill="1" applyBorder="1"/>
    <xf numFmtId="166" fontId="0" fillId="10" borderId="1" xfId="1" applyNumberFormat="1" applyFont="1" applyFill="1" applyBorder="1"/>
    <xf numFmtId="0" fontId="6" fillId="7" borderId="2" xfId="5" applyFont="1" applyFill="1" applyBorder="1" applyAlignment="1">
      <alignment horizontal="center" wrapText="1"/>
    </xf>
    <xf numFmtId="0" fontId="6" fillId="7" borderId="2" xfId="5" applyFont="1" applyFill="1" applyBorder="1" applyAlignment="1">
      <alignment horizontal="center" vertical="center" wrapText="1"/>
    </xf>
    <xf numFmtId="0" fontId="6" fillId="4" borderId="1" xfId="4" applyFont="1" applyBorder="1" applyAlignment="1">
      <alignment horizontal="center" wrapText="1"/>
    </xf>
    <xf numFmtId="0" fontId="6" fillId="13" borderId="2" xfId="0" applyFont="1" applyFill="1" applyBorder="1" applyAlignment="1">
      <alignment horizontal="center" vertical="center" wrapText="1"/>
    </xf>
    <xf numFmtId="0" fontId="6" fillId="7" borderId="1" xfId="5" applyFont="1" applyFill="1" applyBorder="1" applyAlignment="1">
      <alignment horizontal="center" vertical="center" wrapText="1"/>
    </xf>
    <xf numFmtId="0" fontId="6" fillId="4" borderId="1" xfId="4" applyFont="1" applyBorder="1" applyAlignment="1">
      <alignment horizontal="center" vertical="center" wrapText="1"/>
    </xf>
    <xf numFmtId="0" fontId="6" fillId="5" borderId="1" xfId="5" applyFont="1" applyBorder="1" applyAlignment="1">
      <alignment horizontal="center" vertical="center" wrapText="1"/>
    </xf>
    <xf numFmtId="0" fontId="0" fillId="9" borderId="1" xfId="1" applyNumberFormat="1" applyFont="1" applyFill="1" applyBorder="1"/>
    <xf numFmtId="0" fontId="0" fillId="10" borderId="1" xfId="1" applyNumberFormat="1" applyFont="1" applyFill="1" applyBorder="1"/>
    <xf numFmtId="0" fontId="6" fillId="11" borderId="1" xfId="4" applyFont="1" applyFill="1" applyBorder="1" applyAlignment="1">
      <alignment horizontal="center" vertical="center" wrapText="1"/>
    </xf>
    <xf numFmtId="0" fontId="2" fillId="15" borderId="1" xfId="7" applyBorder="1"/>
    <xf numFmtId="3" fontId="2" fillId="12" borderId="1" xfId="6" applyNumberFormat="1" applyFont="1" applyFill="1" applyBorder="1" applyAlignment="1">
      <alignment wrapText="1"/>
    </xf>
    <xf numFmtId="3" fontId="0" fillId="9" borderId="1" xfId="1" applyNumberFormat="1" applyFont="1" applyFill="1" applyBorder="1"/>
    <xf numFmtId="168" fontId="0" fillId="9" borderId="1" xfId="1" applyNumberFormat="1" applyFont="1" applyFill="1" applyBorder="1"/>
    <xf numFmtId="0" fontId="4" fillId="2" borderId="0" xfId="6" applyFill="1"/>
    <xf numFmtId="0" fontId="8" fillId="14" borderId="1" xfId="0" applyFont="1" applyFill="1" applyBorder="1"/>
    <xf numFmtId="0" fontId="8" fillId="9" borderId="2" xfId="0" applyFont="1" applyFill="1" applyBorder="1"/>
    <xf numFmtId="0" fontId="8" fillId="9" borderId="1" xfId="1" applyNumberFormat="1" applyFont="1" applyFill="1" applyBorder="1"/>
    <xf numFmtId="167" fontId="8" fillId="9" borderId="1" xfId="1" applyNumberFormat="1" applyFont="1" applyFill="1" applyBorder="1"/>
    <xf numFmtId="0" fontId="8" fillId="10" borderId="1" xfId="1" applyNumberFormat="1" applyFont="1" applyFill="1" applyBorder="1"/>
    <xf numFmtId="166" fontId="8" fillId="10" borderId="1" xfId="1" applyNumberFormat="1" applyFont="1" applyFill="1" applyBorder="1"/>
    <xf numFmtId="167" fontId="8" fillId="10" borderId="1" xfId="1" applyNumberFormat="1" applyFont="1" applyFill="1" applyBorder="1"/>
    <xf numFmtId="0" fontId="8" fillId="15" borderId="1" xfId="7" applyFont="1" applyBorder="1"/>
    <xf numFmtId="0" fontId="0" fillId="14" borderId="24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44" fontId="0" fillId="9" borderId="20" xfId="8" applyFont="1" applyFill="1" applyBorder="1" applyAlignment="1">
      <alignment horizontal="center"/>
    </xf>
    <xf numFmtId="44" fontId="0" fillId="10" borderId="20" xfId="8" applyFont="1" applyFill="1" applyBorder="1" applyAlignment="1">
      <alignment horizontal="center"/>
    </xf>
    <xf numFmtId="44" fontId="0" fillId="12" borderId="6" xfId="8" applyFont="1" applyFill="1" applyBorder="1" applyAlignment="1">
      <alignment horizontal="center"/>
    </xf>
    <xf numFmtId="0" fontId="1" fillId="19" borderId="3" xfId="0" applyFont="1" applyFill="1" applyBorder="1" applyAlignment="1">
      <alignment horizontal="center" vertical="center" wrapText="1"/>
    </xf>
    <xf numFmtId="0" fontId="1" fillId="19" borderId="4" xfId="0" applyFont="1" applyFill="1" applyBorder="1" applyAlignment="1">
      <alignment horizontal="center" vertical="center" wrapText="1"/>
    </xf>
    <xf numFmtId="0" fontId="1" fillId="19" borderId="19" xfId="0" applyFont="1" applyFill="1" applyBorder="1" applyAlignment="1">
      <alignment horizontal="center" vertical="center" wrapText="1"/>
    </xf>
    <xf numFmtId="0" fontId="1" fillId="20" borderId="3" xfId="0" applyFont="1" applyFill="1" applyBorder="1" applyAlignment="1">
      <alignment horizontal="center" vertical="center" wrapText="1"/>
    </xf>
    <xf numFmtId="0" fontId="1" fillId="20" borderId="4" xfId="0" applyFont="1" applyFill="1" applyBorder="1" applyAlignment="1">
      <alignment horizontal="center" vertical="center" wrapText="1"/>
    </xf>
    <xf numFmtId="0" fontId="1" fillId="20" borderId="19" xfId="0" applyFont="1" applyFill="1" applyBorder="1" applyAlignment="1">
      <alignment horizontal="center" vertical="center" wrapText="1"/>
    </xf>
    <xf numFmtId="44" fontId="0" fillId="10" borderId="25" xfId="8" applyFont="1" applyFill="1" applyBorder="1" applyAlignment="1">
      <alignment horizontal="center"/>
    </xf>
    <xf numFmtId="44" fontId="0" fillId="9" borderId="25" xfId="8" applyFont="1" applyFill="1" applyBorder="1" applyAlignment="1">
      <alignment horizontal="center"/>
    </xf>
    <xf numFmtId="44" fontId="0" fillId="12" borderId="24" xfId="8" applyFont="1" applyFill="1" applyBorder="1" applyAlignment="1">
      <alignment horizontal="center"/>
    </xf>
    <xf numFmtId="44" fontId="0" fillId="17" borderId="6" xfId="8" applyFont="1" applyFill="1" applyBorder="1" applyAlignment="1">
      <alignment horizontal="center"/>
    </xf>
    <xf numFmtId="44" fontId="0" fillId="17" borderId="24" xfId="8" applyFont="1" applyFill="1" applyBorder="1" applyAlignment="1">
      <alignment horizontal="center"/>
    </xf>
    <xf numFmtId="3" fontId="8" fillId="9" borderId="1" xfId="1" applyNumberFormat="1" applyFont="1" applyFill="1" applyBorder="1"/>
    <xf numFmtId="168" fontId="8" fillId="9" borderId="1" xfId="1" applyNumberFormat="1" applyFont="1" applyFill="1" applyBorder="1"/>
    <xf numFmtId="3" fontId="8" fillId="12" borderId="1" xfId="6" applyNumberFormat="1" applyFont="1" applyFill="1" applyBorder="1" applyAlignment="1">
      <alignment wrapText="1"/>
    </xf>
    <xf numFmtId="10" fontId="0" fillId="2" borderId="15" xfId="2" applyNumberFormat="1" applyFont="1" applyFill="1" applyBorder="1" applyAlignment="1">
      <alignment horizontal="center"/>
    </xf>
    <xf numFmtId="10" fontId="0" fillId="2" borderId="2" xfId="2" applyNumberFormat="1" applyFont="1" applyFill="1" applyBorder="1" applyAlignment="1">
      <alignment horizontal="center"/>
    </xf>
    <xf numFmtId="10" fontId="0" fillId="2" borderId="20" xfId="2" applyNumberFormat="1" applyFont="1" applyFill="1" applyBorder="1" applyAlignment="1">
      <alignment horizontal="center"/>
    </xf>
    <xf numFmtId="10" fontId="0" fillId="2" borderId="21" xfId="2" applyNumberFormat="1" applyFont="1" applyFill="1" applyBorder="1" applyAlignment="1">
      <alignment horizontal="center"/>
    </xf>
    <xf numFmtId="10" fontId="0" fillId="2" borderId="26" xfId="2" applyNumberFormat="1" applyFont="1" applyFill="1" applyBorder="1" applyAlignment="1">
      <alignment horizontal="center"/>
    </xf>
    <xf numFmtId="10" fontId="0" fillId="2" borderId="25" xfId="2" applyNumberFormat="1" applyFont="1" applyFill="1" applyBorder="1" applyAlignment="1">
      <alignment horizontal="center"/>
    </xf>
    <xf numFmtId="44" fontId="0" fillId="2" borderId="2" xfId="8" applyFont="1" applyFill="1" applyBorder="1" applyAlignment="1">
      <alignment horizontal="center"/>
    </xf>
    <xf numFmtId="44" fontId="0" fillId="2" borderId="22" xfId="8" applyFont="1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164" fontId="6" fillId="2" borderId="9" xfId="2" applyNumberFormat="1" applyFont="1" applyFill="1" applyBorder="1"/>
    <xf numFmtId="0" fontId="6" fillId="2" borderId="10" xfId="0" applyFont="1" applyFill="1" applyBorder="1"/>
    <xf numFmtId="44" fontId="0" fillId="10" borderId="2" xfId="8" applyFont="1" applyFill="1" applyBorder="1" applyAlignment="1">
      <alignment horizontal="center"/>
    </xf>
    <xf numFmtId="44" fontId="0" fillId="10" borderId="26" xfId="8" applyFont="1" applyFill="1" applyBorder="1" applyAlignment="1">
      <alignment horizontal="center"/>
    </xf>
    <xf numFmtId="0" fontId="6" fillId="13" borderId="12" xfId="0" applyFont="1" applyFill="1" applyBorder="1" applyAlignment="1">
      <alignment horizontal="center"/>
    </xf>
    <xf numFmtId="0" fontId="6" fillId="13" borderId="13" xfId="0" applyFont="1" applyFill="1" applyBorder="1" applyAlignment="1">
      <alignment horizontal="center"/>
    </xf>
    <xf numFmtId="0" fontId="6" fillId="13" borderId="14" xfId="0" applyFont="1" applyFill="1" applyBorder="1" applyAlignment="1">
      <alignment horizontal="center"/>
    </xf>
    <xf numFmtId="0" fontId="6" fillId="13" borderId="12" xfId="0" applyFont="1" applyFill="1" applyBorder="1" applyAlignment="1">
      <alignment horizontal="center" vertical="center"/>
    </xf>
    <xf numFmtId="0" fontId="6" fillId="13" borderId="13" xfId="0" applyFont="1" applyFill="1" applyBorder="1" applyAlignment="1">
      <alignment horizontal="center" vertical="center"/>
    </xf>
    <xf numFmtId="0" fontId="6" fillId="13" borderId="14" xfId="0" applyFont="1" applyFill="1" applyBorder="1" applyAlignment="1">
      <alignment horizontal="center" vertical="center"/>
    </xf>
    <xf numFmtId="0" fontId="1" fillId="13" borderId="3" xfId="0" applyFont="1" applyFill="1" applyBorder="1" applyAlignment="1">
      <alignment horizontal="center"/>
    </xf>
    <xf numFmtId="0" fontId="1" fillId="13" borderId="4" xfId="0" applyFont="1" applyFill="1" applyBorder="1" applyAlignment="1">
      <alignment horizontal="center"/>
    </xf>
    <xf numFmtId="0" fontId="1" fillId="13" borderId="10" xfId="0" applyFont="1" applyFill="1" applyBorder="1" applyAlignment="1">
      <alignment horizontal="center" wrapText="1"/>
    </xf>
    <xf numFmtId="0" fontId="1" fillId="13" borderId="11" xfId="0" applyFont="1" applyFill="1" applyBorder="1" applyAlignment="1">
      <alignment horizontal="center" wrapText="1"/>
    </xf>
    <xf numFmtId="0" fontId="6" fillId="13" borderId="7" xfId="0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center" vertical="center"/>
    </xf>
    <xf numFmtId="0" fontId="6" fillId="13" borderId="9" xfId="0" applyFont="1" applyFill="1" applyBorder="1" applyAlignment="1">
      <alignment horizontal="center" vertical="center"/>
    </xf>
    <xf numFmtId="0" fontId="1" fillId="18" borderId="16" xfId="0" applyFont="1" applyFill="1" applyBorder="1" applyAlignment="1">
      <alignment horizontal="center"/>
    </xf>
    <xf numFmtId="0" fontId="1" fillId="18" borderId="17" xfId="0" applyFont="1" applyFill="1" applyBorder="1" applyAlignment="1">
      <alignment horizontal="center"/>
    </xf>
    <xf numFmtId="0" fontId="1" fillId="18" borderId="18" xfId="0" applyFont="1" applyFill="1" applyBorder="1" applyAlignment="1">
      <alignment horizontal="center"/>
    </xf>
    <xf numFmtId="0" fontId="1" fillId="16" borderId="10" xfId="0" applyFont="1" applyFill="1" applyBorder="1" applyAlignment="1">
      <alignment horizontal="center" vertical="center" wrapText="1"/>
    </xf>
    <xf numFmtId="0" fontId="1" fillId="16" borderId="11" xfId="0" applyFont="1" applyFill="1" applyBorder="1" applyAlignment="1">
      <alignment horizontal="center" vertical="center" wrapText="1"/>
    </xf>
    <xf numFmtId="0" fontId="1" fillId="18" borderId="10" xfId="0" applyFont="1" applyFill="1" applyBorder="1" applyAlignment="1">
      <alignment horizontal="center" vertical="center" wrapText="1"/>
    </xf>
    <xf numFmtId="0" fontId="1" fillId="18" borderId="11" xfId="0" applyFont="1" applyFill="1" applyBorder="1" applyAlignment="1">
      <alignment horizontal="center" vertical="center" wrapText="1"/>
    </xf>
  </cellXfs>
  <cellStyles count="11">
    <cellStyle name="20% - Énfasis5" xfId="7" builtinId="46"/>
    <cellStyle name="Énfasis1" xfId="3" builtinId="29"/>
    <cellStyle name="Énfasis2" xfId="4" builtinId="33"/>
    <cellStyle name="Énfasis4" xfId="5" builtinId="41"/>
    <cellStyle name="Millares" xfId="1" builtinId="3"/>
    <cellStyle name="Moneda" xfId="8" builtinId="4"/>
    <cellStyle name="Moneda 2" xfId="10" xr:uid="{0E5AB49F-A666-42F9-AE3B-402E33F95691}"/>
    <cellStyle name="Neutral" xfId="6" builtinId="28"/>
    <cellStyle name="Normal" xfId="0" builtinId="0"/>
    <cellStyle name="Normal 3" xfId="9" xr:uid="{7A140778-9D6B-4CBB-A1B2-7CE4247AC197}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customXml" Target="../ink/ink1.xml"/><Relationship Id="rId7" Type="http://schemas.openxmlformats.org/officeDocument/2006/relationships/customXml" Target="../ink/ink3.xm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5" Type="http://schemas.openxmlformats.org/officeDocument/2006/relationships/customXml" Target="../ink/ink2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168518</xdr:colOff>
      <xdr:row>23</xdr:row>
      <xdr:rowOff>160670</xdr:rowOff>
    </xdr:from>
    <xdr:to>
      <xdr:col>4</xdr:col>
      <xdr:colOff>357446</xdr:colOff>
      <xdr:row>28</xdr:row>
      <xdr:rowOff>168519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GrpSpPr/>
      </xdr:nvGrpSpPr>
      <xdr:grpSpPr>
        <a:xfrm>
          <a:off x="168518" y="4959805"/>
          <a:ext cx="2951178" cy="960349"/>
          <a:chOff x="8749393" y="2694215"/>
          <a:chExt cx="3355927" cy="1050460"/>
        </a:xfrm>
      </xdr:grpSpPr>
      <xdr:pic>
        <xdr:nvPicPr>
          <xdr:cNvPr id="15" name="Imagen 14">
            <a:extLst>
              <a:ext uri="{FF2B5EF4-FFF2-40B4-BE49-F238E27FC236}">
                <a16:creationId xmlns:a16="http://schemas.microsoft.com/office/drawing/2014/main" id="{00000000-0008-0000-0500-00000F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400000"/>
                    </a14:imgEffect>
                  </a14:imgLayer>
                </a14:imgProps>
              </a:ext>
            </a:extLst>
          </a:blip>
          <a:srcRect l="52221" t="24622" r="1565" b="48227"/>
          <a:stretch/>
        </xdr:blipFill>
        <xdr:spPr>
          <a:xfrm>
            <a:off x="8749393" y="2694215"/>
            <a:ext cx="3355927" cy="1050460"/>
          </a:xfrm>
          <a:prstGeom prst="rect">
            <a:avLst/>
          </a:prstGeom>
        </xdr:spPr>
      </xdr:pic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">
            <xdr14:nvContentPartPr>
              <xdr14:cNvPr id="16" name="Entrada de lápiz 15">
                <a:extLst>
                  <a:ext uri="{FF2B5EF4-FFF2-40B4-BE49-F238E27FC236}">
                    <a16:creationId xmlns:a16="http://schemas.microsoft.com/office/drawing/2014/main" id="{00000000-0008-0000-0500-000010000000}"/>
                  </a:ext>
                </a:extLst>
              </xdr14:cNvPr>
              <xdr14:cNvContentPartPr/>
            </xdr14:nvContentPartPr>
            <xdr14:nvPr macro=""/>
            <xdr14:xfrm>
              <a:off x="9763374" y="3395507"/>
              <a:ext cx="643680" cy="86274"/>
            </xdr14:xfrm>
          </xdr14:contentPart>
        </mc:Choice>
        <mc:Fallback xmlns="">
          <xdr:pic>
            <xdr:nvPicPr>
              <xdr:cNvPr id="16" name="Entrada de lápiz 15">
                <a:extLst>
                  <a:ext uri="{FF2B5EF4-FFF2-40B4-BE49-F238E27FC236}">
                    <a16:creationId xmlns:a16="http://schemas.microsoft.com/office/drawing/2014/main" id="{9744B75E-E0EE-40CE-86CF-F86C59345168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4"/>
              <a:stretch>
                <a:fillRect/>
              </a:stretch>
            </xdr:blipFill>
            <xdr:spPr>
              <a:xfrm>
                <a:off x="9742914" y="3375810"/>
                <a:ext cx="684191" cy="125275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5">
            <xdr14:nvContentPartPr>
              <xdr14:cNvPr id="17" name="Entrada de lápiz 16">
                <a:extLst>
                  <a:ext uri="{FF2B5EF4-FFF2-40B4-BE49-F238E27FC236}">
                    <a16:creationId xmlns:a16="http://schemas.microsoft.com/office/drawing/2014/main" id="{00000000-0008-0000-0500-000011000000}"/>
                  </a:ext>
                </a:extLst>
              </xdr14:cNvPr>
              <xdr14:cNvContentPartPr/>
            </xdr14:nvContentPartPr>
            <xdr14:nvPr macro=""/>
            <xdr14:xfrm>
              <a:off x="10847334" y="3021143"/>
              <a:ext cx="1003320" cy="52920"/>
            </xdr14:xfrm>
          </xdr14:contentPart>
        </mc:Choice>
        <mc:Fallback xmlns="">
          <xdr:pic>
            <xdr:nvPicPr>
              <xdr:cNvPr id="17" name="Entrada de lápiz 16">
                <a:extLst>
                  <a:ext uri="{FF2B5EF4-FFF2-40B4-BE49-F238E27FC236}">
                    <a16:creationId xmlns:a16="http://schemas.microsoft.com/office/drawing/2014/main" id="{7B4C425C-2827-419D-AEDD-86ABDC08488C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6"/>
              <a:stretch>
                <a:fillRect/>
              </a:stretch>
            </xdr:blipFill>
            <xdr:spPr>
              <a:xfrm>
                <a:off x="10826866" y="3001935"/>
                <a:ext cx="1043846" cy="91728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7">
            <xdr14:nvContentPartPr>
              <xdr14:cNvPr id="18" name="Entrada de lápiz 17">
                <a:extLst>
                  <a:ext uri="{FF2B5EF4-FFF2-40B4-BE49-F238E27FC236}">
                    <a16:creationId xmlns:a16="http://schemas.microsoft.com/office/drawing/2014/main" id="{00000000-0008-0000-0500-000012000000}"/>
                  </a:ext>
                </a:extLst>
              </xdr14:cNvPr>
              <xdr14:cNvContentPartPr/>
            </xdr14:nvContentPartPr>
            <xdr14:nvPr macro=""/>
            <xdr14:xfrm>
              <a:off x="10873614" y="3593110"/>
              <a:ext cx="1045080" cy="114355"/>
            </xdr14:xfrm>
          </xdr14:contentPart>
        </mc:Choice>
        <mc:Fallback xmlns="">
          <xdr:pic>
            <xdr:nvPicPr>
              <xdr:cNvPr id="18" name="Entrada de lápiz 17">
                <a:extLst>
                  <a:ext uri="{FF2B5EF4-FFF2-40B4-BE49-F238E27FC236}">
                    <a16:creationId xmlns:a16="http://schemas.microsoft.com/office/drawing/2014/main" id="{BEC8A603-8B5A-45EB-9FFE-9582BD4283FA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8"/>
              <a:stretch>
                <a:fillRect/>
              </a:stretch>
            </xdr:blipFill>
            <xdr:spPr>
              <a:xfrm>
                <a:off x="10853146" y="3573788"/>
                <a:ext cx="1085606" cy="153393"/>
              </a:xfrm>
              <a:prstGeom prst="rect">
                <a:avLst/>
              </a:prstGeom>
            </xdr:spPr>
          </xdr:pic>
        </mc:Fallback>
      </mc:AlternateContent>
    </xdr:grp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0-11-16T00:59:18.614"/>
    </inkml:context>
    <inkml:brush xml:id="br0">
      <inkml:brushProperty name="width" value="0.1" units="cm"/>
      <inkml:brushProperty name="height" value="0.1" units="cm"/>
      <inkml:brushProperty name="color" value="#E71224"/>
      <inkml:brushProperty name="ignorePressure" value="1"/>
    </inkml:brush>
  </inkml:definitions>
  <inkml:trace contextRef="#ctx0" brushRef="#br0">0 1,'305'23,"-197"-11,80 20,-128-20,1-1,84 1,-130-10,1-1,-1 2,25 7,20 3,21 0,-14-3,96 4,-142-12,1 0,-1 2,-1 0,27 9,-22-5,0-2,29 4,-41-9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0-11-16T00:59:18.615"/>
    </inkml:context>
    <inkml:brush xml:id="br0">
      <inkml:brushProperty name="width" value="0.1" units="cm"/>
      <inkml:brushProperty name="height" value="0.1" units="cm"/>
      <inkml:brushProperty name="color" value="#E71224"/>
      <inkml:brushProperty name="ignorePressure" value="1"/>
    </inkml:brush>
  </inkml:definitions>
  <inkml:trace contextRef="#ctx0" brushRef="#br0">0 1,'352'17,"-243"-2,-56-7,61 2,104-9,214 10,-365-6,-31-3,0 1,58 14,-65-9,1-1,-1-2,1-1,45 0,83 12,414-16,-556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0-11-16T00:59:18.616"/>
    </inkml:context>
    <inkml:brush xml:id="br0">
      <inkml:brushProperty name="width" value="0.1" units="cm"/>
      <inkml:brushProperty name="height" value="0.1" units="cm"/>
      <inkml:brushProperty name="color" value="#E71224"/>
      <inkml:brushProperty name="ignorePressure" value="1"/>
    </inkml:brush>
  </inkml:definitions>
  <inkml:trace contextRef="#ctx0" brushRef="#br0">0 1,'112'2,"-1"5,0 5,194 49,-232-41,1-4,0-2,139 5,749-20,-787 18,-154-16,0 1,1 1,-2 2,1 0,0 1,20 9,117 60,-154-72,9 4</inkml:trace>
</inkml: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18FF2-F4FB-4BCF-84EC-006EEFA5E014}">
  <sheetPr codeName="Hoja1"/>
  <dimension ref="A1:J102"/>
  <sheetViews>
    <sheetView zoomScale="115" zoomScaleNormal="115" workbookViewId="0"/>
  </sheetViews>
  <sheetFormatPr baseColWidth="10" defaultRowHeight="15" x14ac:dyDescent="0.25"/>
  <cols>
    <col min="1" max="1" width="8.140625" style="1" bestFit="1" customWidth="1"/>
    <col min="2" max="2" width="15.5703125" style="1" customWidth="1"/>
    <col min="3" max="3" width="15.7109375" style="1" customWidth="1"/>
    <col min="4" max="5" width="12.85546875" style="1" customWidth="1"/>
    <col min="6" max="6" width="15.7109375" style="1" customWidth="1"/>
    <col min="7" max="7" width="15.7109375" style="3" customWidth="1"/>
    <col min="8" max="9" width="12.85546875" style="1" customWidth="1"/>
    <col min="10" max="10" width="15.7109375" style="1" customWidth="1"/>
    <col min="11" max="16384" width="11.42578125" style="1"/>
  </cols>
  <sheetData>
    <row r="1" spans="1:10" ht="15.75" thickBot="1" x14ac:dyDescent="0.3">
      <c r="G1" s="1"/>
    </row>
    <row r="2" spans="1:10" x14ac:dyDescent="0.25">
      <c r="A2" s="92" t="s">
        <v>39</v>
      </c>
      <c r="B2" s="93"/>
      <c r="C2" s="93"/>
      <c r="D2" s="94"/>
      <c r="F2" s="89" t="s">
        <v>12</v>
      </c>
      <c r="G2" s="90"/>
      <c r="H2" s="91"/>
    </row>
    <row r="3" spans="1:10" ht="45" customHeight="1" x14ac:dyDescent="0.25">
      <c r="A3" s="33" t="s">
        <v>33</v>
      </c>
      <c r="B3" s="31" t="s">
        <v>28</v>
      </c>
      <c r="C3" s="30" t="s">
        <v>42</v>
      </c>
      <c r="D3" s="31" t="s">
        <v>30</v>
      </c>
      <c r="E3" s="36" t="s">
        <v>31</v>
      </c>
      <c r="F3" s="35" t="s">
        <v>29</v>
      </c>
      <c r="G3" s="32" t="s">
        <v>42</v>
      </c>
      <c r="H3" s="35" t="s">
        <v>30</v>
      </c>
      <c r="I3" s="35" t="s">
        <v>31</v>
      </c>
      <c r="J3" s="39" t="s">
        <v>43</v>
      </c>
    </row>
    <row r="4" spans="1:10" x14ac:dyDescent="0.25">
      <c r="A4" s="24">
        <v>0</v>
      </c>
      <c r="B4" s="6">
        <v>6</v>
      </c>
      <c r="C4" s="37">
        <f>J4</f>
        <v>17149</v>
      </c>
      <c r="D4" s="37">
        <f>B4/C4</f>
        <v>3.4987462825820747E-4</v>
      </c>
      <c r="E4" s="26">
        <f>(2*D4)/(2+D4)</f>
        <v>3.4981343283582088E-4</v>
      </c>
      <c r="F4" s="38">
        <v>12</v>
      </c>
      <c r="G4" s="29">
        <f>C4</f>
        <v>17149</v>
      </c>
      <c r="H4" s="28">
        <f>F4/G4</f>
        <v>6.9974925651641493E-4</v>
      </c>
      <c r="I4" s="28">
        <f>(2*H4)/(2+H4)</f>
        <v>6.9950451763334308E-4</v>
      </c>
      <c r="J4" s="40">
        <v>17149</v>
      </c>
    </row>
    <row r="5" spans="1:10" x14ac:dyDescent="0.25">
      <c r="A5" s="24">
        <f>A4+1</f>
        <v>1</v>
      </c>
      <c r="B5" s="6">
        <v>26</v>
      </c>
      <c r="C5" s="37">
        <f>J5-B4</f>
        <v>17705</v>
      </c>
      <c r="D5" s="37">
        <f t="shared" ref="D5:D68" si="0">B5/C5</f>
        <v>1.4685117198531489E-3</v>
      </c>
      <c r="E5" s="26">
        <f t="shared" ref="E5:E68" si="1">(2*D5)/(2+D5)</f>
        <v>1.4674342476577492E-3</v>
      </c>
      <c r="F5" s="38">
        <v>39</v>
      </c>
      <c r="G5" s="29">
        <f t="shared" ref="G5:G68" si="2">C5</f>
        <v>17705</v>
      </c>
      <c r="H5" s="28">
        <f t="shared" ref="H5:H68" si="3">F5/G5</f>
        <v>2.2027675797797234E-3</v>
      </c>
      <c r="I5" s="28">
        <f t="shared" ref="I5:I68" si="4">(2*H5)/(2+H5)</f>
        <v>2.2003441563936926E-3</v>
      </c>
      <c r="J5" s="40">
        <v>17711</v>
      </c>
    </row>
    <row r="6" spans="1:10" x14ac:dyDescent="0.25">
      <c r="A6" s="24">
        <f t="shared" ref="A6:A69" si="5">A5+1</f>
        <v>2</v>
      </c>
      <c r="B6" s="6">
        <v>37</v>
      </c>
      <c r="C6" s="37">
        <f>J6-SUM($B$4:B5)</f>
        <v>18744</v>
      </c>
      <c r="D6" s="37">
        <f t="shared" si="0"/>
        <v>1.9739650021340163E-3</v>
      </c>
      <c r="E6" s="26">
        <f t="shared" si="1"/>
        <v>1.9720186542305129E-3</v>
      </c>
      <c r="F6" s="38">
        <v>48</v>
      </c>
      <c r="G6" s="29">
        <f>C6</f>
        <v>18744</v>
      </c>
      <c r="H6" s="28">
        <f t="shared" si="3"/>
        <v>2.5608194622279128E-3</v>
      </c>
      <c r="I6" s="28">
        <f t="shared" si="4"/>
        <v>2.5575447570332483E-3</v>
      </c>
      <c r="J6" s="40">
        <v>18776</v>
      </c>
    </row>
    <row r="7" spans="1:10" x14ac:dyDescent="0.25">
      <c r="A7" s="24">
        <f t="shared" si="5"/>
        <v>3</v>
      </c>
      <c r="B7" s="6">
        <v>17</v>
      </c>
      <c r="C7" s="37">
        <f>J7-SUM($B$4:B6)</f>
        <v>18711</v>
      </c>
      <c r="D7" s="37">
        <f t="shared" si="0"/>
        <v>9.0855646411201968E-4</v>
      </c>
      <c r="E7" s="26">
        <f t="shared" si="1"/>
        <v>9.081439141002698E-4</v>
      </c>
      <c r="F7" s="38">
        <v>50</v>
      </c>
      <c r="G7" s="29">
        <f t="shared" si="2"/>
        <v>18711</v>
      </c>
      <c r="H7" s="28">
        <f t="shared" si="3"/>
        <v>2.6722248944471166E-3</v>
      </c>
      <c r="I7" s="28">
        <f t="shared" si="4"/>
        <v>2.6686592655849701E-3</v>
      </c>
      <c r="J7" s="40">
        <v>18780</v>
      </c>
    </row>
    <row r="8" spans="1:10" x14ac:dyDescent="0.25">
      <c r="A8" s="24">
        <f t="shared" si="5"/>
        <v>4</v>
      </c>
      <c r="B8" s="6">
        <v>14</v>
      </c>
      <c r="C8" s="37">
        <f>J8-SUM($B$4:B7)</f>
        <v>18133</v>
      </c>
      <c r="D8" s="37">
        <f t="shared" si="0"/>
        <v>7.7207301604808915E-4</v>
      </c>
      <c r="E8" s="26">
        <f t="shared" si="1"/>
        <v>7.7177508269018753E-4</v>
      </c>
      <c r="F8" s="38">
        <v>72</v>
      </c>
      <c r="G8" s="29">
        <f t="shared" si="2"/>
        <v>18133</v>
      </c>
      <c r="H8" s="28">
        <f t="shared" si="3"/>
        <v>3.970661225390173E-3</v>
      </c>
      <c r="I8" s="28">
        <f t="shared" si="4"/>
        <v>3.9627937696075739E-3</v>
      </c>
      <c r="J8" s="40">
        <v>18219</v>
      </c>
    </row>
    <row r="9" spans="1:10" x14ac:dyDescent="0.25">
      <c r="A9" s="24">
        <f t="shared" si="5"/>
        <v>5</v>
      </c>
      <c r="B9" s="6">
        <v>12</v>
      </c>
      <c r="C9" s="37">
        <f>J9-SUM($B$4:B8)</f>
        <v>17425</v>
      </c>
      <c r="D9" s="37">
        <f t="shared" si="0"/>
        <v>6.8866571018651364E-4</v>
      </c>
      <c r="E9" s="26">
        <f t="shared" si="1"/>
        <v>6.8842866157994387E-4</v>
      </c>
      <c r="F9" s="38">
        <v>61</v>
      </c>
      <c r="G9" s="29">
        <f t="shared" si="2"/>
        <v>17425</v>
      </c>
      <c r="H9" s="28">
        <f t="shared" si="3"/>
        <v>3.5007173601147778E-3</v>
      </c>
      <c r="I9" s="28">
        <f t="shared" si="4"/>
        <v>3.4946005556987774E-3</v>
      </c>
      <c r="J9" s="40">
        <v>17525</v>
      </c>
    </row>
    <row r="10" spans="1:10" x14ac:dyDescent="0.25">
      <c r="A10" s="24">
        <f t="shared" si="5"/>
        <v>6</v>
      </c>
      <c r="B10" s="6">
        <v>13</v>
      </c>
      <c r="C10" s="37">
        <f>J10-SUM($B$4:B9)</f>
        <v>19117</v>
      </c>
      <c r="D10" s="37">
        <f t="shared" si="0"/>
        <v>6.8002301616362402E-4</v>
      </c>
      <c r="E10" s="26">
        <f t="shared" si="1"/>
        <v>6.7979187910162885E-4</v>
      </c>
      <c r="F10" s="38">
        <v>62</v>
      </c>
      <c r="G10" s="29">
        <f t="shared" si="2"/>
        <v>19117</v>
      </c>
      <c r="H10" s="28">
        <f t="shared" si="3"/>
        <v>3.2431866924726685E-3</v>
      </c>
      <c r="I10" s="28">
        <f t="shared" si="4"/>
        <v>3.23793607687487E-3</v>
      </c>
      <c r="J10" s="40">
        <v>19229</v>
      </c>
    </row>
    <row r="11" spans="1:10" x14ac:dyDescent="0.25">
      <c r="A11" s="24">
        <f t="shared" si="5"/>
        <v>7</v>
      </c>
      <c r="B11" s="6">
        <v>9</v>
      </c>
      <c r="C11" s="37">
        <f>J11-SUM($B$4:B10)</f>
        <v>20902</v>
      </c>
      <c r="D11" s="37">
        <f t="shared" si="0"/>
        <v>4.3058080566452973E-4</v>
      </c>
      <c r="E11" s="26">
        <f t="shared" si="1"/>
        <v>4.3048812570253272E-4</v>
      </c>
      <c r="F11" s="38">
        <v>66</v>
      </c>
      <c r="G11" s="29">
        <f t="shared" si="2"/>
        <v>20902</v>
      </c>
      <c r="H11" s="28">
        <f t="shared" si="3"/>
        <v>3.1575925748732179E-3</v>
      </c>
      <c r="I11" s="28">
        <f t="shared" si="4"/>
        <v>3.1526152376403155E-3</v>
      </c>
      <c r="J11" s="40">
        <v>21027</v>
      </c>
    </row>
    <row r="12" spans="1:10" x14ac:dyDescent="0.25">
      <c r="A12" s="24">
        <f t="shared" si="5"/>
        <v>8</v>
      </c>
      <c r="B12" s="6">
        <v>6</v>
      </c>
      <c r="C12" s="37">
        <f>J12-SUM($B$4:B11)</f>
        <v>19307</v>
      </c>
      <c r="D12" s="37">
        <f t="shared" si="0"/>
        <v>3.1076811519138134E-4</v>
      </c>
      <c r="E12" s="26">
        <f t="shared" si="1"/>
        <v>3.1071983428275507E-4</v>
      </c>
      <c r="F12" s="38">
        <v>52</v>
      </c>
      <c r="G12" s="29">
        <f t="shared" si="2"/>
        <v>19307</v>
      </c>
      <c r="H12" s="28">
        <f t="shared" si="3"/>
        <v>2.6933236649919717E-3</v>
      </c>
      <c r="I12" s="28">
        <f t="shared" si="4"/>
        <v>2.689701546578389E-3</v>
      </c>
      <c r="J12" s="40">
        <v>19441</v>
      </c>
    </row>
    <row r="13" spans="1:10" x14ac:dyDescent="0.25">
      <c r="A13" s="24">
        <f t="shared" si="5"/>
        <v>9</v>
      </c>
      <c r="B13" s="6">
        <v>9</v>
      </c>
      <c r="C13" s="37">
        <f>J13-SUM($B$4:B12)</f>
        <v>20343</v>
      </c>
      <c r="D13" s="37">
        <f t="shared" si="0"/>
        <v>4.4241262350685741E-4</v>
      </c>
      <c r="E13" s="26">
        <f t="shared" si="1"/>
        <v>4.4231478068558792E-4</v>
      </c>
      <c r="F13" s="38">
        <v>55</v>
      </c>
      <c r="G13" s="29">
        <f t="shared" si="2"/>
        <v>20343</v>
      </c>
      <c r="H13" s="28">
        <f t="shared" si="3"/>
        <v>2.7036326992085731E-3</v>
      </c>
      <c r="I13" s="28">
        <f t="shared" si="4"/>
        <v>2.6999828182911567E-3</v>
      </c>
      <c r="J13" s="40">
        <v>20483</v>
      </c>
    </row>
    <row r="14" spans="1:10" x14ac:dyDescent="0.25">
      <c r="A14" s="24">
        <f t="shared" si="5"/>
        <v>10</v>
      </c>
      <c r="B14" s="6">
        <v>8</v>
      </c>
      <c r="C14" s="37">
        <f>J14-SUM($B$4:B13)</f>
        <v>21229</v>
      </c>
      <c r="D14" s="37">
        <f t="shared" si="0"/>
        <v>3.7684299778604737E-4</v>
      </c>
      <c r="E14" s="26">
        <f t="shared" si="1"/>
        <v>3.7677200583996609E-4</v>
      </c>
      <c r="F14" s="38">
        <v>54</v>
      </c>
      <c r="G14" s="29">
        <f t="shared" si="2"/>
        <v>21229</v>
      </c>
      <c r="H14" s="28">
        <f t="shared" si="3"/>
        <v>2.5436902350558198E-3</v>
      </c>
      <c r="I14" s="28">
        <f t="shared" si="4"/>
        <v>2.540459164471208E-3</v>
      </c>
      <c r="J14" s="40">
        <v>21378</v>
      </c>
    </row>
    <row r="15" spans="1:10" x14ac:dyDescent="0.25">
      <c r="A15" s="24">
        <f t="shared" si="5"/>
        <v>11</v>
      </c>
      <c r="B15" s="6">
        <v>3</v>
      </c>
      <c r="C15" s="37">
        <f>J15-SUM($B$4:B14)</f>
        <v>20854</v>
      </c>
      <c r="D15" s="37">
        <f t="shared" si="0"/>
        <v>1.4385729356478373E-4</v>
      </c>
      <c r="E15" s="26">
        <f t="shared" si="1"/>
        <v>1.4384694684855314E-4</v>
      </c>
      <c r="F15" s="38">
        <v>42</v>
      </c>
      <c r="G15" s="29">
        <f t="shared" si="2"/>
        <v>20854</v>
      </c>
      <c r="H15" s="28">
        <f t="shared" si="3"/>
        <v>2.0140021099069724E-3</v>
      </c>
      <c r="I15" s="28">
        <f t="shared" si="4"/>
        <v>2.0119760479041919E-3</v>
      </c>
      <c r="J15" s="40">
        <v>21011</v>
      </c>
    </row>
    <row r="16" spans="1:10" x14ac:dyDescent="0.25">
      <c r="A16" s="24">
        <f t="shared" si="5"/>
        <v>12</v>
      </c>
      <c r="B16" s="6">
        <v>3</v>
      </c>
      <c r="C16" s="37">
        <f>J16-SUM($B$4:B15)</f>
        <v>21667</v>
      </c>
      <c r="D16" s="37">
        <f t="shared" si="0"/>
        <v>1.3845940831679513E-4</v>
      </c>
      <c r="E16" s="26">
        <f t="shared" si="1"/>
        <v>1.3844982347647507E-4</v>
      </c>
      <c r="F16" s="38">
        <v>46</v>
      </c>
      <c r="G16" s="29">
        <f t="shared" si="2"/>
        <v>21667</v>
      </c>
      <c r="H16" s="28">
        <f t="shared" si="3"/>
        <v>2.1230442608575254E-3</v>
      </c>
      <c r="I16" s="28">
        <f t="shared" si="4"/>
        <v>2.1207929921622866E-3</v>
      </c>
      <c r="J16" s="40">
        <v>21827</v>
      </c>
    </row>
    <row r="17" spans="1:10" x14ac:dyDescent="0.25">
      <c r="A17" s="24">
        <f t="shared" si="5"/>
        <v>13</v>
      </c>
      <c r="B17" s="6">
        <v>2</v>
      </c>
      <c r="C17" s="37">
        <f>J17-SUM($B$4:B16)</f>
        <v>21861</v>
      </c>
      <c r="D17" s="37">
        <f t="shared" si="0"/>
        <v>9.1487123187411376E-5</v>
      </c>
      <c r="E17" s="26">
        <f t="shared" si="1"/>
        <v>9.1482938431982434E-5</v>
      </c>
      <c r="F17" s="38">
        <v>44</v>
      </c>
      <c r="G17" s="29">
        <f t="shared" si="2"/>
        <v>21861</v>
      </c>
      <c r="H17" s="28">
        <f t="shared" si="3"/>
        <v>2.0127167101230501E-3</v>
      </c>
      <c r="I17" s="28">
        <f t="shared" si="4"/>
        <v>2.0106932321893706E-3</v>
      </c>
      <c r="J17" s="40">
        <v>22024</v>
      </c>
    </row>
    <row r="18" spans="1:10" x14ac:dyDescent="0.25">
      <c r="A18" s="24">
        <f t="shared" si="5"/>
        <v>14</v>
      </c>
      <c r="B18" s="6">
        <v>0</v>
      </c>
      <c r="C18" s="37">
        <f>J18-SUM($B$4:B17)</f>
        <v>20757</v>
      </c>
      <c r="D18" s="37">
        <f t="shared" si="0"/>
        <v>0</v>
      </c>
      <c r="E18" s="26">
        <f t="shared" si="1"/>
        <v>0</v>
      </c>
      <c r="F18" s="38">
        <v>48</v>
      </c>
      <c r="G18" s="29">
        <f t="shared" si="2"/>
        <v>20757</v>
      </c>
      <c r="H18" s="28">
        <f t="shared" si="3"/>
        <v>2.312472900708195E-3</v>
      </c>
      <c r="I18" s="28">
        <f t="shared" si="4"/>
        <v>2.3098022231846397E-3</v>
      </c>
      <c r="J18" s="40">
        <v>20922</v>
      </c>
    </row>
    <row r="19" spans="1:10" x14ac:dyDescent="0.25">
      <c r="A19" s="24">
        <f t="shared" si="5"/>
        <v>15</v>
      </c>
      <c r="B19" s="6">
        <v>0</v>
      </c>
      <c r="C19" s="37">
        <f>J19-SUM($B$4:B18)</f>
        <v>20993</v>
      </c>
      <c r="D19" s="37">
        <f t="shared" si="0"/>
        <v>0</v>
      </c>
      <c r="E19" s="26">
        <f t="shared" si="1"/>
        <v>0</v>
      </c>
      <c r="F19" s="38">
        <v>43</v>
      </c>
      <c r="G19" s="29">
        <f t="shared" si="2"/>
        <v>20993</v>
      </c>
      <c r="H19" s="28">
        <f t="shared" si="3"/>
        <v>2.0483018148906777E-3</v>
      </c>
      <c r="I19" s="28">
        <f t="shared" si="4"/>
        <v>2.0462061909633823E-3</v>
      </c>
      <c r="J19" s="40">
        <v>21158</v>
      </c>
    </row>
    <row r="20" spans="1:10" x14ac:dyDescent="0.25">
      <c r="A20" s="24">
        <f t="shared" si="5"/>
        <v>16</v>
      </c>
      <c r="B20" s="6">
        <v>1</v>
      </c>
      <c r="C20" s="37">
        <f>J20-SUM($B$4:B19)</f>
        <v>21965</v>
      </c>
      <c r="D20" s="37">
        <f t="shared" si="0"/>
        <v>4.5526974732529023E-5</v>
      </c>
      <c r="E20" s="26">
        <f t="shared" si="1"/>
        <v>4.5525938403405345E-5</v>
      </c>
      <c r="F20" s="38">
        <v>60</v>
      </c>
      <c r="G20" s="29">
        <f t="shared" si="2"/>
        <v>21965</v>
      </c>
      <c r="H20" s="28">
        <f t="shared" si="3"/>
        <v>2.7316184839517414E-3</v>
      </c>
      <c r="I20" s="28">
        <f t="shared" si="4"/>
        <v>2.7278927028870194E-3</v>
      </c>
      <c r="J20" s="40">
        <v>22130</v>
      </c>
    </row>
    <row r="21" spans="1:10" x14ac:dyDescent="0.25">
      <c r="A21" s="24">
        <f t="shared" si="5"/>
        <v>17</v>
      </c>
      <c r="B21" s="6">
        <v>2</v>
      </c>
      <c r="C21" s="37">
        <f>J21-SUM($B$4:B20)</f>
        <v>22900</v>
      </c>
      <c r="D21" s="37">
        <f t="shared" si="0"/>
        <v>8.733624454148471E-5</v>
      </c>
      <c r="E21" s="26">
        <f t="shared" si="1"/>
        <v>8.7332430898214052E-5</v>
      </c>
      <c r="F21" s="38">
        <v>52</v>
      </c>
      <c r="G21" s="29">
        <f t="shared" si="2"/>
        <v>22900</v>
      </c>
      <c r="H21" s="28">
        <f t="shared" si="3"/>
        <v>2.2707423580786024E-3</v>
      </c>
      <c r="I21" s="28">
        <f t="shared" si="4"/>
        <v>2.268167146471255E-3</v>
      </c>
      <c r="J21" s="40">
        <v>23066</v>
      </c>
    </row>
    <row r="22" spans="1:10" x14ac:dyDescent="0.25">
      <c r="A22" s="24">
        <f t="shared" si="5"/>
        <v>18</v>
      </c>
      <c r="B22" s="6">
        <v>3</v>
      </c>
      <c r="C22" s="37">
        <f>J22-SUM($B$4:B21)</f>
        <v>25643</v>
      </c>
      <c r="D22" s="37">
        <f t="shared" si="0"/>
        <v>1.1699099169363959E-4</v>
      </c>
      <c r="E22" s="26">
        <f t="shared" si="1"/>
        <v>1.169841486478582E-4</v>
      </c>
      <c r="F22" s="38">
        <v>50</v>
      </c>
      <c r="G22" s="29">
        <f t="shared" si="2"/>
        <v>25643</v>
      </c>
      <c r="H22" s="28">
        <f t="shared" si="3"/>
        <v>1.9498498615606599E-3</v>
      </c>
      <c r="I22" s="28">
        <f t="shared" si="4"/>
        <v>1.947950755804893E-3</v>
      </c>
      <c r="J22" s="40">
        <v>25811</v>
      </c>
    </row>
    <row r="23" spans="1:10" x14ac:dyDescent="0.25">
      <c r="A23" s="24">
        <f t="shared" si="5"/>
        <v>19</v>
      </c>
      <c r="B23" s="6">
        <v>0</v>
      </c>
      <c r="C23" s="37">
        <f>J23-SUM($B$4:B22)</f>
        <v>28735</v>
      </c>
      <c r="D23" s="37">
        <f t="shared" si="0"/>
        <v>0</v>
      </c>
      <c r="E23" s="26">
        <f t="shared" si="1"/>
        <v>0</v>
      </c>
      <c r="F23" s="38">
        <v>45</v>
      </c>
      <c r="G23" s="29">
        <f t="shared" si="2"/>
        <v>28735</v>
      </c>
      <c r="H23" s="28">
        <f t="shared" si="3"/>
        <v>1.5660344527579607E-3</v>
      </c>
      <c r="I23" s="28">
        <f t="shared" si="4"/>
        <v>1.5648091802138572E-3</v>
      </c>
      <c r="J23" s="40">
        <v>28906</v>
      </c>
    </row>
    <row r="24" spans="1:10" x14ac:dyDescent="0.25">
      <c r="A24" s="24">
        <f t="shared" si="5"/>
        <v>20</v>
      </c>
      <c r="B24" s="6">
        <v>0</v>
      </c>
      <c r="C24" s="37">
        <f>J24-SUM($B$4:B23)</f>
        <v>29576</v>
      </c>
      <c r="D24" s="37">
        <f t="shared" si="0"/>
        <v>0</v>
      </c>
      <c r="E24" s="26">
        <f t="shared" si="1"/>
        <v>0</v>
      </c>
      <c r="F24" s="38">
        <v>45</v>
      </c>
      <c r="G24" s="29">
        <f t="shared" si="2"/>
        <v>29576</v>
      </c>
      <c r="H24" s="28">
        <f t="shared" si="3"/>
        <v>1.5215039220989992E-3</v>
      </c>
      <c r="I24" s="28">
        <f t="shared" si="4"/>
        <v>1.5203473148977143E-3</v>
      </c>
      <c r="J24" s="40">
        <v>29747</v>
      </c>
    </row>
    <row r="25" spans="1:10" x14ac:dyDescent="0.25">
      <c r="A25" s="24">
        <f t="shared" si="5"/>
        <v>21</v>
      </c>
      <c r="B25" s="6">
        <v>1</v>
      </c>
      <c r="C25" s="37">
        <f>J25-SUM($B$4:B24)</f>
        <v>24859</v>
      </c>
      <c r="D25" s="37">
        <f t="shared" si="0"/>
        <v>4.0226879600949353E-5</v>
      </c>
      <c r="E25" s="26">
        <f t="shared" si="1"/>
        <v>4.022607051630161E-5</v>
      </c>
      <c r="F25" s="38">
        <v>44</v>
      </c>
      <c r="G25" s="29">
        <f t="shared" si="2"/>
        <v>24859</v>
      </c>
      <c r="H25" s="28">
        <f t="shared" si="3"/>
        <v>1.7699827024417717E-3</v>
      </c>
      <c r="I25" s="28">
        <f t="shared" si="4"/>
        <v>1.768417668100157E-3</v>
      </c>
      <c r="J25" s="40">
        <v>25030</v>
      </c>
    </row>
    <row r="26" spans="1:10" x14ac:dyDescent="0.25">
      <c r="A26" s="24">
        <f t="shared" si="5"/>
        <v>22</v>
      </c>
      <c r="B26" s="6">
        <v>1</v>
      </c>
      <c r="C26" s="37">
        <f>J26-SUM($B$4:B25)</f>
        <v>24006</v>
      </c>
      <c r="D26" s="37">
        <f t="shared" si="0"/>
        <v>4.1656252603515784E-5</v>
      </c>
      <c r="E26" s="26">
        <f t="shared" si="1"/>
        <v>4.1655384999895862E-5</v>
      </c>
      <c r="F26" s="38">
        <v>46</v>
      </c>
      <c r="G26" s="29">
        <f t="shared" si="2"/>
        <v>24006</v>
      </c>
      <c r="H26" s="28">
        <f t="shared" si="3"/>
        <v>1.9161876197617263E-3</v>
      </c>
      <c r="I26" s="28">
        <f t="shared" si="4"/>
        <v>1.9143534895334805E-3</v>
      </c>
      <c r="J26" s="40">
        <v>24178</v>
      </c>
    </row>
    <row r="27" spans="1:10" x14ac:dyDescent="0.25">
      <c r="A27" s="24">
        <f t="shared" si="5"/>
        <v>23</v>
      </c>
      <c r="B27" s="6">
        <v>0</v>
      </c>
      <c r="C27" s="37">
        <f>J27-SUM($B$4:B26)</f>
        <v>21585</v>
      </c>
      <c r="D27" s="37">
        <f t="shared" si="0"/>
        <v>0</v>
      </c>
      <c r="E27" s="26">
        <f t="shared" si="1"/>
        <v>0</v>
      </c>
      <c r="F27" s="38">
        <v>31</v>
      </c>
      <c r="G27" s="29">
        <f t="shared" si="2"/>
        <v>21585</v>
      </c>
      <c r="H27" s="28">
        <f t="shared" si="3"/>
        <v>1.4361825341672458E-3</v>
      </c>
      <c r="I27" s="28">
        <f t="shared" si="4"/>
        <v>1.4351519640749056E-3</v>
      </c>
      <c r="J27" s="40">
        <v>21758</v>
      </c>
    </row>
    <row r="28" spans="1:10" x14ac:dyDescent="0.25">
      <c r="A28" s="24">
        <f t="shared" si="5"/>
        <v>24</v>
      </c>
      <c r="B28" s="6">
        <v>2</v>
      </c>
      <c r="C28" s="37">
        <f>J28-SUM($B$4:B27)</f>
        <v>20566</v>
      </c>
      <c r="D28" s="37">
        <f t="shared" si="0"/>
        <v>9.7247884858504325E-5</v>
      </c>
      <c r="E28" s="26">
        <f t="shared" si="1"/>
        <v>9.7243156512860402E-5</v>
      </c>
      <c r="F28" s="38">
        <v>41</v>
      </c>
      <c r="G28" s="29">
        <f t="shared" si="2"/>
        <v>20566</v>
      </c>
      <c r="H28" s="28">
        <f t="shared" si="3"/>
        <v>1.9935816395993387E-3</v>
      </c>
      <c r="I28" s="28">
        <f t="shared" si="4"/>
        <v>1.9915964345566268E-3</v>
      </c>
      <c r="J28" s="40">
        <v>20739</v>
      </c>
    </row>
    <row r="29" spans="1:10" x14ac:dyDescent="0.25">
      <c r="A29" s="24">
        <f t="shared" si="5"/>
        <v>25</v>
      </c>
      <c r="B29" s="6">
        <v>0</v>
      </c>
      <c r="C29" s="37">
        <f>J29-SUM($B$4:B28)</f>
        <v>21383</v>
      </c>
      <c r="D29" s="37">
        <f t="shared" si="0"/>
        <v>0</v>
      </c>
      <c r="E29" s="26">
        <f t="shared" si="1"/>
        <v>0</v>
      </c>
      <c r="F29" s="38">
        <v>32</v>
      </c>
      <c r="G29" s="29">
        <f t="shared" si="2"/>
        <v>21383</v>
      </c>
      <c r="H29" s="28">
        <f t="shared" si="3"/>
        <v>1.4965159238647524E-3</v>
      </c>
      <c r="I29" s="28">
        <f t="shared" si="4"/>
        <v>1.4953969811673442E-3</v>
      </c>
      <c r="J29" s="40">
        <v>21558</v>
      </c>
    </row>
    <row r="30" spans="1:10" x14ac:dyDescent="0.25">
      <c r="A30" s="45">
        <f t="shared" si="5"/>
        <v>26</v>
      </c>
      <c r="B30" s="46">
        <v>3</v>
      </c>
      <c r="C30" s="47">
        <f>J30-SUM($B$4:B29)</f>
        <v>24842</v>
      </c>
      <c r="D30" s="47">
        <f t="shared" si="0"/>
        <v>1.2076322357298124E-4</v>
      </c>
      <c r="E30" s="48">
        <f t="shared" si="1"/>
        <v>1.2075593213516612E-4</v>
      </c>
      <c r="F30" s="49">
        <v>30</v>
      </c>
      <c r="G30" s="50">
        <f t="shared" si="2"/>
        <v>24842</v>
      </c>
      <c r="H30" s="51">
        <f t="shared" si="3"/>
        <v>1.2076322357298123E-3</v>
      </c>
      <c r="I30" s="51">
        <f t="shared" si="4"/>
        <v>1.20690348795108E-3</v>
      </c>
      <c r="J30" s="52">
        <v>25017</v>
      </c>
    </row>
    <row r="31" spans="1:10" x14ac:dyDescent="0.25">
      <c r="A31" s="24">
        <f t="shared" si="5"/>
        <v>27</v>
      </c>
      <c r="B31" s="6">
        <v>0</v>
      </c>
      <c r="C31" s="37">
        <f>J31-SUM($B$4:B30)</f>
        <v>24839</v>
      </c>
      <c r="D31" s="37">
        <f t="shared" si="0"/>
        <v>0</v>
      </c>
      <c r="E31" s="26">
        <f t="shared" si="1"/>
        <v>0</v>
      </c>
      <c r="F31" s="38">
        <v>38</v>
      </c>
      <c r="G31" s="29">
        <f t="shared" si="2"/>
        <v>24839</v>
      </c>
      <c r="H31" s="28">
        <f t="shared" si="3"/>
        <v>1.5298522484802125E-3</v>
      </c>
      <c r="I31" s="28">
        <f t="shared" si="4"/>
        <v>1.5286829189798052E-3</v>
      </c>
      <c r="J31" s="40">
        <v>25017</v>
      </c>
    </row>
    <row r="32" spans="1:10" x14ac:dyDescent="0.25">
      <c r="A32" s="24">
        <f t="shared" si="5"/>
        <v>28</v>
      </c>
      <c r="B32" s="6">
        <v>0</v>
      </c>
      <c r="C32" s="37">
        <f>J32-SUM($B$4:B31)</f>
        <v>24839</v>
      </c>
      <c r="D32" s="37">
        <f t="shared" si="0"/>
        <v>0</v>
      </c>
      <c r="E32" s="26">
        <f t="shared" si="1"/>
        <v>0</v>
      </c>
      <c r="F32" s="38">
        <v>25</v>
      </c>
      <c r="G32" s="29">
        <f t="shared" si="2"/>
        <v>24839</v>
      </c>
      <c r="H32" s="28">
        <f t="shared" si="3"/>
        <v>1.0064817424211925E-3</v>
      </c>
      <c r="I32" s="28">
        <f t="shared" si="4"/>
        <v>1.0059754944369555E-3</v>
      </c>
      <c r="J32" s="40">
        <v>25017</v>
      </c>
    </row>
    <row r="33" spans="1:10" x14ac:dyDescent="0.25">
      <c r="A33" s="24">
        <f t="shared" si="5"/>
        <v>29</v>
      </c>
      <c r="B33" s="6">
        <v>0</v>
      </c>
      <c r="C33" s="37">
        <f>J33-SUM($B$4:B32)</f>
        <v>24839</v>
      </c>
      <c r="D33" s="37">
        <f t="shared" si="0"/>
        <v>0</v>
      </c>
      <c r="E33" s="26">
        <f t="shared" si="1"/>
        <v>0</v>
      </c>
      <c r="F33" s="38">
        <v>23</v>
      </c>
      <c r="G33" s="29">
        <f t="shared" si="2"/>
        <v>24839</v>
      </c>
      <c r="H33" s="28">
        <f t="shared" si="3"/>
        <v>9.2596320302749707E-4</v>
      </c>
      <c r="I33" s="28">
        <f t="shared" si="4"/>
        <v>9.2553469749099605E-4</v>
      </c>
      <c r="J33" s="40">
        <v>25017</v>
      </c>
    </row>
    <row r="34" spans="1:10" x14ac:dyDescent="0.25">
      <c r="A34" s="24">
        <f t="shared" si="5"/>
        <v>30</v>
      </c>
      <c r="B34" s="6">
        <v>1</v>
      </c>
      <c r="C34" s="37">
        <f>J34-SUM($B$4:B33)</f>
        <v>24839</v>
      </c>
      <c r="D34" s="37">
        <f t="shared" si="0"/>
        <v>4.0259269696847702E-5</v>
      </c>
      <c r="E34" s="26">
        <f t="shared" si="1"/>
        <v>4.0258459308762261E-5</v>
      </c>
      <c r="F34" s="38">
        <v>15</v>
      </c>
      <c r="G34" s="29">
        <f t="shared" si="2"/>
        <v>24839</v>
      </c>
      <c r="H34" s="28">
        <f t="shared" si="3"/>
        <v>6.0388904545271552E-4</v>
      </c>
      <c r="I34" s="28">
        <f t="shared" si="4"/>
        <v>6.0370675950335059E-4</v>
      </c>
      <c r="J34" s="40">
        <v>25017</v>
      </c>
    </row>
    <row r="35" spans="1:10" x14ac:dyDescent="0.25">
      <c r="A35" s="24">
        <f t="shared" si="5"/>
        <v>31</v>
      </c>
      <c r="B35" s="6">
        <v>0</v>
      </c>
      <c r="C35" s="37">
        <f>J35-SUM($B$4:B34)</f>
        <v>24838</v>
      </c>
      <c r="D35" s="37">
        <f t="shared" si="0"/>
        <v>0</v>
      </c>
      <c r="E35" s="26">
        <f t="shared" si="1"/>
        <v>0</v>
      </c>
      <c r="F35" s="38">
        <v>14</v>
      </c>
      <c r="G35" s="29">
        <f t="shared" si="2"/>
        <v>24838</v>
      </c>
      <c r="H35" s="28">
        <f t="shared" si="3"/>
        <v>5.6365246799259204E-4</v>
      </c>
      <c r="I35" s="28">
        <f t="shared" si="4"/>
        <v>5.6349366069631719E-4</v>
      </c>
      <c r="J35" s="40">
        <v>25017</v>
      </c>
    </row>
    <row r="36" spans="1:10" x14ac:dyDescent="0.25">
      <c r="A36" s="24">
        <f t="shared" si="5"/>
        <v>32</v>
      </c>
      <c r="B36" s="6">
        <v>0</v>
      </c>
      <c r="C36" s="37">
        <f>J36-SUM($B$4:B35)</f>
        <v>24838</v>
      </c>
      <c r="D36" s="37">
        <f t="shared" si="0"/>
        <v>0</v>
      </c>
      <c r="E36" s="26">
        <f t="shared" si="1"/>
        <v>0</v>
      </c>
      <c r="F36" s="38">
        <v>17</v>
      </c>
      <c r="G36" s="29">
        <f t="shared" si="2"/>
        <v>24838</v>
      </c>
      <c r="H36" s="28">
        <f t="shared" si="3"/>
        <v>6.8443513970529025E-4</v>
      </c>
      <c r="I36" s="28">
        <f t="shared" si="4"/>
        <v>6.8420099410379726E-4</v>
      </c>
      <c r="J36" s="40">
        <v>25017</v>
      </c>
    </row>
    <row r="37" spans="1:10" x14ac:dyDescent="0.25">
      <c r="A37" s="24">
        <f t="shared" si="5"/>
        <v>33</v>
      </c>
      <c r="B37" s="6">
        <v>1</v>
      </c>
      <c r="C37" s="37">
        <f>J37-SUM($B$4:B36)</f>
        <v>24838</v>
      </c>
      <c r="D37" s="37">
        <f t="shared" si="0"/>
        <v>4.0260890570899426E-5</v>
      </c>
      <c r="E37" s="26">
        <f t="shared" si="1"/>
        <v>4.0260080117559435E-5</v>
      </c>
      <c r="F37" s="38">
        <v>12</v>
      </c>
      <c r="G37" s="29">
        <f t="shared" si="2"/>
        <v>24838</v>
      </c>
      <c r="H37" s="28">
        <f t="shared" si="3"/>
        <v>4.8313068685079316E-4</v>
      </c>
      <c r="I37" s="28">
        <f t="shared" si="4"/>
        <v>4.8301400740621484E-4</v>
      </c>
      <c r="J37" s="40">
        <v>25017</v>
      </c>
    </row>
    <row r="38" spans="1:10" x14ac:dyDescent="0.25">
      <c r="A38" s="24">
        <f t="shared" si="5"/>
        <v>34</v>
      </c>
      <c r="B38" s="6">
        <v>0</v>
      </c>
      <c r="C38" s="37">
        <f>J38-SUM($B$4:B37)</f>
        <v>24837</v>
      </c>
      <c r="D38" s="37">
        <f t="shared" si="0"/>
        <v>0</v>
      </c>
      <c r="E38" s="26">
        <f t="shared" si="1"/>
        <v>0</v>
      </c>
      <c r="F38" s="38">
        <v>15</v>
      </c>
      <c r="G38" s="29">
        <f t="shared" si="2"/>
        <v>24837</v>
      </c>
      <c r="H38" s="28">
        <f t="shared" si="3"/>
        <v>6.0393767363208113E-4</v>
      </c>
      <c r="I38" s="28">
        <f t="shared" si="4"/>
        <v>6.0375535832880519E-4</v>
      </c>
      <c r="J38" s="40">
        <v>25017</v>
      </c>
    </row>
    <row r="39" spans="1:10" x14ac:dyDescent="0.25">
      <c r="A39" s="24">
        <f t="shared" si="5"/>
        <v>35</v>
      </c>
      <c r="B39" s="6">
        <v>0</v>
      </c>
      <c r="C39" s="37">
        <f>J39-SUM($B$4:B38)</f>
        <v>24837</v>
      </c>
      <c r="D39" s="37">
        <f t="shared" si="0"/>
        <v>0</v>
      </c>
      <c r="E39" s="26">
        <f t="shared" si="1"/>
        <v>0</v>
      </c>
      <c r="F39" s="38">
        <v>8</v>
      </c>
      <c r="G39" s="29">
        <f t="shared" si="2"/>
        <v>24837</v>
      </c>
      <c r="H39" s="28">
        <f t="shared" si="3"/>
        <v>3.2210009260377661E-4</v>
      </c>
      <c r="I39" s="28">
        <f t="shared" si="4"/>
        <v>3.2204822672195161E-4</v>
      </c>
      <c r="J39" s="40">
        <v>25017</v>
      </c>
    </row>
    <row r="40" spans="1:10" x14ac:dyDescent="0.25">
      <c r="A40" s="24">
        <f t="shared" si="5"/>
        <v>36</v>
      </c>
      <c r="B40" s="6">
        <v>0</v>
      </c>
      <c r="C40" s="37">
        <f>J40-SUM($B$4:B39)</f>
        <v>24837</v>
      </c>
      <c r="D40" s="37">
        <f t="shared" si="0"/>
        <v>0</v>
      </c>
      <c r="E40" s="26">
        <f t="shared" si="1"/>
        <v>0</v>
      </c>
      <c r="F40" s="38">
        <v>12</v>
      </c>
      <c r="G40" s="29">
        <f t="shared" si="2"/>
        <v>24837</v>
      </c>
      <c r="H40" s="28">
        <f t="shared" si="3"/>
        <v>4.8315013890566492E-4</v>
      </c>
      <c r="I40" s="28">
        <f t="shared" si="4"/>
        <v>4.8303345006641703E-4</v>
      </c>
      <c r="J40" s="40">
        <v>25017</v>
      </c>
    </row>
    <row r="41" spans="1:10" x14ac:dyDescent="0.25">
      <c r="A41" s="24">
        <f t="shared" si="5"/>
        <v>37</v>
      </c>
      <c r="B41" s="6">
        <v>0</v>
      </c>
      <c r="C41" s="37">
        <f>J41-SUM($B$4:B40)</f>
        <v>24837</v>
      </c>
      <c r="D41" s="37">
        <f t="shared" si="0"/>
        <v>0</v>
      </c>
      <c r="E41" s="26">
        <f t="shared" si="1"/>
        <v>0</v>
      </c>
      <c r="F41" s="38">
        <v>8</v>
      </c>
      <c r="G41" s="29">
        <f t="shared" si="2"/>
        <v>24837</v>
      </c>
      <c r="H41" s="28">
        <f t="shared" si="3"/>
        <v>3.2210009260377661E-4</v>
      </c>
      <c r="I41" s="28">
        <f t="shared" si="4"/>
        <v>3.2204822672195161E-4</v>
      </c>
      <c r="J41" s="40">
        <v>25017</v>
      </c>
    </row>
    <row r="42" spans="1:10" x14ac:dyDescent="0.25">
      <c r="A42" s="24">
        <f t="shared" si="5"/>
        <v>38</v>
      </c>
      <c r="B42" s="6">
        <v>0</v>
      </c>
      <c r="C42" s="37">
        <f>J42-SUM($B$4:B41)</f>
        <v>24837</v>
      </c>
      <c r="D42" s="37">
        <f t="shared" si="0"/>
        <v>0</v>
      </c>
      <c r="E42" s="26">
        <f t="shared" si="1"/>
        <v>0</v>
      </c>
      <c r="F42" s="38">
        <v>7</v>
      </c>
      <c r="G42" s="29">
        <f t="shared" si="2"/>
        <v>24837</v>
      </c>
      <c r="H42" s="28">
        <f t="shared" si="3"/>
        <v>2.8183758102830452E-4</v>
      </c>
      <c r="I42" s="28">
        <f t="shared" si="4"/>
        <v>2.8179787041323641E-4</v>
      </c>
      <c r="J42" s="40">
        <v>25017</v>
      </c>
    </row>
    <row r="43" spans="1:10" x14ac:dyDescent="0.25">
      <c r="A43" s="24">
        <f t="shared" si="5"/>
        <v>39</v>
      </c>
      <c r="B43" s="6">
        <v>0</v>
      </c>
      <c r="C43" s="37">
        <f>J43-SUM($B$4:B42)</f>
        <v>24837</v>
      </c>
      <c r="D43" s="37">
        <f t="shared" si="0"/>
        <v>0</v>
      </c>
      <c r="E43" s="26">
        <f t="shared" si="1"/>
        <v>0</v>
      </c>
      <c r="F43" s="38">
        <v>9</v>
      </c>
      <c r="G43" s="29">
        <f t="shared" si="2"/>
        <v>24837</v>
      </c>
      <c r="H43" s="28">
        <f t="shared" si="3"/>
        <v>3.623626041792487E-4</v>
      </c>
      <c r="I43" s="28">
        <f t="shared" si="4"/>
        <v>3.6229696274379567E-4</v>
      </c>
      <c r="J43" s="40">
        <v>25017</v>
      </c>
    </row>
    <row r="44" spans="1:10" x14ac:dyDescent="0.25">
      <c r="A44" s="24">
        <f t="shared" si="5"/>
        <v>40</v>
      </c>
      <c r="B44" s="6">
        <v>0</v>
      </c>
      <c r="C44" s="37">
        <f>J44-SUM($B$4:B43)</f>
        <v>24837</v>
      </c>
      <c r="D44" s="37">
        <f t="shared" si="0"/>
        <v>0</v>
      </c>
      <c r="E44" s="26">
        <f t="shared" si="1"/>
        <v>0</v>
      </c>
      <c r="F44" s="38">
        <v>9</v>
      </c>
      <c r="G44" s="29">
        <f t="shared" si="2"/>
        <v>24837</v>
      </c>
      <c r="H44" s="28">
        <f t="shared" si="3"/>
        <v>3.623626041792487E-4</v>
      </c>
      <c r="I44" s="28">
        <f t="shared" si="4"/>
        <v>3.6229696274379567E-4</v>
      </c>
      <c r="J44" s="40">
        <v>25017</v>
      </c>
    </row>
    <row r="45" spans="1:10" x14ac:dyDescent="0.25">
      <c r="A45" s="24">
        <f t="shared" si="5"/>
        <v>41</v>
      </c>
      <c r="B45" s="6">
        <v>0</v>
      </c>
      <c r="C45" s="37">
        <f>J45-SUM($B$4:B44)</f>
        <v>24837</v>
      </c>
      <c r="D45" s="37">
        <f t="shared" si="0"/>
        <v>0</v>
      </c>
      <c r="E45" s="26">
        <f t="shared" si="1"/>
        <v>0</v>
      </c>
      <c r="F45" s="38">
        <v>10</v>
      </c>
      <c r="G45" s="29">
        <f t="shared" si="2"/>
        <v>24837</v>
      </c>
      <c r="H45" s="28">
        <f t="shared" si="3"/>
        <v>4.0262511575472079E-4</v>
      </c>
      <c r="I45" s="28">
        <f t="shared" si="4"/>
        <v>4.0254407857660417E-4</v>
      </c>
      <c r="J45" s="40">
        <v>25017</v>
      </c>
    </row>
    <row r="46" spans="1:10" x14ac:dyDescent="0.25">
      <c r="A46" s="24">
        <f t="shared" si="5"/>
        <v>42</v>
      </c>
      <c r="B46" s="6">
        <v>0</v>
      </c>
      <c r="C46" s="37">
        <f>J46-SUM($B$4:B45)</f>
        <v>24837</v>
      </c>
      <c r="D46" s="37">
        <f t="shared" si="0"/>
        <v>0</v>
      </c>
      <c r="E46" s="26">
        <f t="shared" si="1"/>
        <v>0</v>
      </c>
      <c r="F46" s="38">
        <v>6</v>
      </c>
      <c r="G46" s="29">
        <f t="shared" si="2"/>
        <v>24837</v>
      </c>
      <c r="H46" s="28">
        <f t="shared" si="3"/>
        <v>2.4157506945283246E-4</v>
      </c>
      <c r="I46" s="28">
        <f t="shared" si="4"/>
        <v>2.4154589371980676E-4</v>
      </c>
      <c r="J46" s="40">
        <v>25017</v>
      </c>
    </row>
    <row r="47" spans="1:10" x14ac:dyDescent="0.25">
      <c r="A47" s="24">
        <f t="shared" si="5"/>
        <v>43</v>
      </c>
      <c r="B47" s="6">
        <v>0</v>
      </c>
      <c r="C47" s="37">
        <f>J47-SUM($B$4:B46)</f>
        <v>24837</v>
      </c>
      <c r="D47" s="37">
        <f t="shared" si="0"/>
        <v>0</v>
      </c>
      <c r="E47" s="26">
        <f t="shared" si="1"/>
        <v>0</v>
      </c>
      <c r="F47" s="38">
        <v>8</v>
      </c>
      <c r="G47" s="29">
        <f t="shared" si="2"/>
        <v>24837</v>
      </c>
      <c r="H47" s="28">
        <f t="shared" si="3"/>
        <v>3.2210009260377661E-4</v>
      </c>
      <c r="I47" s="28">
        <f t="shared" si="4"/>
        <v>3.2204822672195161E-4</v>
      </c>
      <c r="J47" s="40">
        <v>25017</v>
      </c>
    </row>
    <row r="48" spans="1:10" x14ac:dyDescent="0.25">
      <c r="A48" s="24">
        <f t="shared" si="5"/>
        <v>44</v>
      </c>
      <c r="B48" s="6">
        <v>0</v>
      </c>
      <c r="C48" s="37">
        <f>J48-SUM($B$4:B47)</f>
        <v>24837</v>
      </c>
      <c r="D48" s="37">
        <f t="shared" si="0"/>
        <v>0</v>
      </c>
      <c r="E48" s="26">
        <f t="shared" si="1"/>
        <v>0</v>
      </c>
      <c r="F48" s="38">
        <v>6</v>
      </c>
      <c r="G48" s="29">
        <f t="shared" si="2"/>
        <v>24837</v>
      </c>
      <c r="H48" s="28">
        <f t="shared" si="3"/>
        <v>2.4157506945283246E-4</v>
      </c>
      <c r="I48" s="28">
        <f t="shared" si="4"/>
        <v>2.4154589371980676E-4</v>
      </c>
      <c r="J48" s="40">
        <v>25017</v>
      </c>
    </row>
    <row r="49" spans="1:10" x14ac:dyDescent="0.25">
      <c r="A49" s="24">
        <f t="shared" si="5"/>
        <v>45</v>
      </c>
      <c r="B49" s="6">
        <v>0</v>
      </c>
      <c r="C49" s="37">
        <f>J49-SUM($B$4:B48)</f>
        <v>24837</v>
      </c>
      <c r="D49" s="37">
        <f t="shared" si="0"/>
        <v>0</v>
      </c>
      <c r="E49" s="26">
        <f t="shared" si="1"/>
        <v>0</v>
      </c>
      <c r="F49" s="38">
        <v>6</v>
      </c>
      <c r="G49" s="29">
        <f t="shared" si="2"/>
        <v>24837</v>
      </c>
      <c r="H49" s="28">
        <f t="shared" si="3"/>
        <v>2.4157506945283246E-4</v>
      </c>
      <c r="I49" s="28">
        <f t="shared" si="4"/>
        <v>2.4154589371980676E-4</v>
      </c>
      <c r="J49" s="40">
        <v>25017</v>
      </c>
    </row>
    <row r="50" spans="1:10" x14ac:dyDescent="0.25">
      <c r="A50" s="24">
        <f t="shared" si="5"/>
        <v>46</v>
      </c>
      <c r="B50" s="6">
        <v>0</v>
      </c>
      <c r="C50" s="37">
        <f>J50-SUM($B$4:B49)</f>
        <v>24837</v>
      </c>
      <c r="D50" s="37">
        <f t="shared" si="0"/>
        <v>0</v>
      </c>
      <c r="E50" s="26">
        <f t="shared" si="1"/>
        <v>0</v>
      </c>
      <c r="F50" s="38">
        <v>3</v>
      </c>
      <c r="G50" s="29">
        <f t="shared" si="2"/>
        <v>24837</v>
      </c>
      <c r="H50" s="28">
        <f t="shared" si="3"/>
        <v>1.2078753472641623E-4</v>
      </c>
      <c r="I50" s="28">
        <f t="shared" si="4"/>
        <v>1.207802403526783E-4</v>
      </c>
      <c r="J50" s="40">
        <v>25017</v>
      </c>
    </row>
    <row r="51" spans="1:10" x14ac:dyDescent="0.25">
      <c r="A51" s="24">
        <f t="shared" si="5"/>
        <v>47</v>
      </c>
      <c r="B51" s="6">
        <v>0</v>
      </c>
      <c r="C51" s="37">
        <f>J51-SUM($B$4:B50)</f>
        <v>24837</v>
      </c>
      <c r="D51" s="37">
        <f t="shared" si="0"/>
        <v>0</v>
      </c>
      <c r="E51" s="26">
        <f t="shared" si="1"/>
        <v>0</v>
      </c>
      <c r="F51" s="38">
        <v>1</v>
      </c>
      <c r="G51" s="29">
        <f t="shared" si="2"/>
        <v>24837</v>
      </c>
      <c r="H51" s="28">
        <f t="shared" si="3"/>
        <v>4.0262511575472077E-5</v>
      </c>
      <c r="I51" s="28">
        <f t="shared" si="4"/>
        <v>4.0261701056869654E-5</v>
      </c>
      <c r="J51" s="40">
        <v>25017</v>
      </c>
    </row>
    <row r="52" spans="1:10" x14ac:dyDescent="0.25">
      <c r="A52" s="24">
        <f t="shared" si="5"/>
        <v>48</v>
      </c>
      <c r="B52" s="6">
        <v>1</v>
      </c>
      <c r="C52" s="37">
        <f>J52-SUM($B$4:B51)</f>
        <v>24837</v>
      </c>
      <c r="D52" s="37">
        <f t="shared" si="0"/>
        <v>4.0262511575472077E-5</v>
      </c>
      <c r="E52" s="26">
        <f t="shared" si="1"/>
        <v>4.0261701056869654E-5</v>
      </c>
      <c r="F52" s="38">
        <v>1</v>
      </c>
      <c r="G52" s="29">
        <f t="shared" si="2"/>
        <v>24837</v>
      </c>
      <c r="H52" s="28">
        <f t="shared" si="3"/>
        <v>4.0262511575472077E-5</v>
      </c>
      <c r="I52" s="28">
        <f t="shared" si="4"/>
        <v>4.0261701056869654E-5</v>
      </c>
      <c r="J52" s="40">
        <v>25017</v>
      </c>
    </row>
    <row r="53" spans="1:10" x14ac:dyDescent="0.25">
      <c r="A53" s="24">
        <f t="shared" si="5"/>
        <v>49</v>
      </c>
      <c r="B53" s="6">
        <v>0</v>
      </c>
      <c r="C53" s="37">
        <f>J53-SUM($B$4:B52)</f>
        <v>24836</v>
      </c>
      <c r="D53" s="37">
        <f t="shared" si="0"/>
        <v>0</v>
      </c>
      <c r="E53" s="26">
        <f t="shared" si="1"/>
        <v>0</v>
      </c>
      <c r="F53" s="38">
        <v>3</v>
      </c>
      <c r="G53" s="29">
        <f t="shared" si="2"/>
        <v>24836</v>
      </c>
      <c r="H53" s="28">
        <f t="shared" si="3"/>
        <v>1.2079239813174424E-4</v>
      </c>
      <c r="I53" s="28">
        <f t="shared" si="4"/>
        <v>1.2078510317060894E-4</v>
      </c>
      <c r="J53" s="40">
        <v>25017</v>
      </c>
    </row>
    <row r="54" spans="1:10" x14ac:dyDescent="0.25">
      <c r="A54" s="24">
        <f t="shared" si="5"/>
        <v>50</v>
      </c>
      <c r="B54" s="6">
        <v>0</v>
      </c>
      <c r="C54" s="37">
        <f>J54-SUM($B$4:B53)</f>
        <v>24836</v>
      </c>
      <c r="D54" s="37">
        <f t="shared" si="0"/>
        <v>0</v>
      </c>
      <c r="E54" s="26">
        <f t="shared" si="1"/>
        <v>0</v>
      </c>
      <c r="F54" s="38">
        <v>0</v>
      </c>
      <c r="G54" s="29">
        <f t="shared" si="2"/>
        <v>24836</v>
      </c>
      <c r="H54" s="28">
        <f t="shared" si="3"/>
        <v>0</v>
      </c>
      <c r="I54" s="28">
        <f t="shared" si="4"/>
        <v>0</v>
      </c>
      <c r="J54" s="40">
        <v>25017</v>
      </c>
    </row>
    <row r="55" spans="1:10" x14ac:dyDescent="0.25">
      <c r="A55" s="24">
        <f t="shared" si="5"/>
        <v>51</v>
      </c>
      <c r="B55" s="6">
        <v>0</v>
      </c>
      <c r="C55" s="37">
        <f>J55-SUM($B$4:B54)</f>
        <v>24836</v>
      </c>
      <c r="D55" s="37">
        <f t="shared" si="0"/>
        <v>0</v>
      </c>
      <c r="E55" s="26">
        <f t="shared" si="1"/>
        <v>0</v>
      </c>
      <c r="F55" s="38">
        <v>2</v>
      </c>
      <c r="G55" s="29">
        <f t="shared" si="2"/>
        <v>24836</v>
      </c>
      <c r="H55" s="28">
        <f t="shared" si="3"/>
        <v>8.052826542116283E-5</v>
      </c>
      <c r="I55" s="28">
        <f t="shared" si="4"/>
        <v>8.0525023150944153E-5</v>
      </c>
      <c r="J55" s="40">
        <v>25017</v>
      </c>
    </row>
    <row r="56" spans="1:10" x14ac:dyDescent="0.25">
      <c r="A56" s="24">
        <f t="shared" si="5"/>
        <v>52</v>
      </c>
      <c r="B56" s="6">
        <v>0</v>
      </c>
      <c r="C56" s="37">
        <f>J56-SUM($B$4:B55)</f>
        <v>24836</v>
      </c>
      <c r="D56" s="37">
        <f t="shared" si="0"/>
        <v>0</v>
      </c>
      <c r="E56" s="26">
        <f t="shared" si="1"/>
        <v>0</v>
      </c>
      <c r="F56" s="38">
        <v>1</v>
      </c>
      <c r="G56" s="29">
        <f t="shared" si="2"/>
        <v>24836</v>
      </c>
      <c r="H56" s="28">
        <f t="shared" si="3"/>
        <v>4.0264132710581415E-5</v>
      </c>
      <c r="I56" s="28">
        <f t="shared" si="4"/>
        <v>4.0263322126708673E-5</v>
      </c>
      <c r="J56" s="40">
        <v>25017</v>
      </c>
    </row>
    <row r="57" spans="1:10" x14ac:dyDescent="0.25">
      <c r="A57" s="24">
        <f t="shared" si="5"/>
        <v>53</v>
      </c>
      <c r="B57" s="6">
        <v>0</v>
      </c>
      <c r="C57" s="37">
        <f>J57-SUM($B$4:B56)</f>
        <v>24836</v>
      </c>
      <c r="D57" s="37">
        <f t="shared" si="0"/>
        <v>0</v>
      </c>
      <c r="E57" s="26">
        <f t="shared" si="1"/>
        <v>0</v>
      </c>
      <c r="F57" s="38">
        <v>1</v>
      </c>
      <c r="G57" s="29">
        <f t="shared" si="2"/>
        <v>24836</v>
      </c>
      <c r="H57" s="28">
        <f t="shared" si="3"/>
        <v>4.0264132710581415E-5</v>
      </c>
      <c r="I57" s="28">
        <f t="shared" si="4"/>
        <v>4.0263322126708673E-5</v>
      </c>
      <c r="J57" s="40">
        <v>25017</v>
      </c>
    </row>
    <row r="58" spans="1:10" x14ac:dyDescent="0.25">
      <c r="A58" s="24">
        <f t="shared" si="5"/>
        <v>54</v>
      </c>
      <c r="B58" s="6">
        <v>0</v>
      </c>
      <c r="C58" s="37">
        <f>J58-SUM($B$4:B57)</f>
        <v>24836</v>
      </c>
      <c r="D58" s="37">
        <f t="shared" si="0"/>
        <v>0</v>
      </c>
      <c r="E58" s="26">
        <f t="shared" si="1"/>
        <v>0</v>
      </c>
      <c r="F58" s="38">
        <v>1</v>
      </c>
      <c r="G58" s="29">
        <f t="shared" si="2"/>
        <v>24836</v>
      </c>
      <c r="H58" s="28">
        <f t="shared" si="3"/>
        <v>4.0264132710581415E-5</v>
      </c>
      <c r="I58" s="28">
        <f t="shared" si="4"/>
        <v>4.0263322126708673E-5</v>
      </c>
      <c r="J58" s="40">
        <v>25017</v>
      </c>
    </row>
    <row r="59" spans="1:10" x14ac:dyDescent="0.25">
      <c r="A59" s="24">
        <f t="shared" si="5"/>
        <v>55</v>
      </c>
      <c r="B59" s="6">
        <v>0</v>
      </c>
      <c r="C59" s="37">
        <f>J59-SUM($B$4:B58)</f>
        <v>24836</v>
      </c>
      <c r="D59" s="37">
        <f t="shared" si="0"/>
        <v>0</v>
      </c>
      <c r="E59" s="26">
        <f t="shared" si="1"/>
        <v>0</v>
      </c>
      <c r="F59" s="38">
        <v>1</v>
      </c>
      <c r="G59" s="29">
        <f t="shared" si="2"/>
        <v>24836</v>
      </c>
      <c r="H59" s="28">
        <f t="shared" si="3"/>
        <v>4.0264132710581415E-5</v>
      </c>
      <c r="I59" s="28">
        <f t="shared" si="4"/>
        <v>4.0263322126708673E-5</v>
      </c>
      <c r="J59" s="40">
        <v>25017</v>
      </c>
    </row>
    <row r="60" spans="1:10" x14ac:dyDescent="0.25">
      <c r="A60" s="24">
        <f t="shared" si="5"/>
        <v>56</v>
      </c>
      <c r="B60" s="6">
        <v>0</v>
      </c>
      <c r="C60" s="37">
        <f>J60-SUM($B$4:B59)</f>
        <v>24836</v>
      </c>
      <c r="D60" s="37">
        <f t="shared" si="0"/>
        <v>0</v>
      </c>
      <c r="E60" s="26">
        <f t="shared" si="1"/>
        <v>0</v>
      </c>
      <c r="F60" s="38">
        <v>0</v>
      </c>
      <c r="G60" s="29">
        <f t="shared" si="2"/>
        <v>24836</v>
      </c>
      <c r="H60" s="28">
        <f t="shared" si="3"/>
        <v>0</v>
      </c>
      <c r="I60" s="28">
        <f t="shared" si="4"/>
        <v>0</v>
      </c>
      <c r="J60" s="40">
        <v>25017</v>
      </c>
    </row>
    <row r="61" spans="1:10" x14ac:dyDescent="0.25">
      <c r="A61" s="24">
        <f t="shared" si="5"/>
        <v>57</v>
      </c>
      <c r="B61" s="6">
        <v>0</v>
      </c>
      <c r="C61" s="37">
        <f>J61-SUM($B$4:B60)</f>
        <v>24836</v>
      </c>
      <c r="D61" s="37">
        <f t="shared" si="0"/>
        <v>0</v>
      </c>
      <c r="E61" s="26">
        <f t="shared" si="1"/>
        <v>0</v>
      </c>
      <c r="F61" s="38">
        <v>0</v>
      </c>
      <c r="G61" s="29">
        <f t="shared" si="2"/>
        <v>24836</v>
      </c>
      <c r="H61" s="28">
        <f t="shared" si="3"/>
        <v>0</v>
      </c>
      <c r="I61" s="28">
        <f t="shared" si="4"/>
        <v>0</v>
      </c>
      <c r="J61" s="40">
        <v>25017</v>
      </c>
    </row>
    <row r="62" spans="1:10" x14ac:dyDescent="0.25">
      <c r="A62" s="24">
        <f t="shared" si="5"/>
        <v>58</v>
      </c>
      <c r="B62" s="6">
        <v>0</v>
      </c>
      <c r="C62" s="37">
        <f>J62-SUM($B$4:B61)</f>
        <v>24836</v>
      </c>
      <c r="D62" s="37">
        <f t="shared" si="0"/>
        <v>0</v>
      </c>
      <c r="E62" s="26">
        <f t="shared" si="1"/>
        <v>0</v>
      </c>
      <c r="F62" s="38">
        <v>0</v>
      </c>
      <c r="G62" s="29">
        <f t="shared" si="2"/>
        <v>24836</v>
      </c>
      <c r="H62" s="28">
        <f t="shared" si="3"/>
        <v>0</v>
      </c>
      <c r="I62" s="28">
        <f t="shared" si="4"/>
        <v>0</v>
      </c>
      <c r="J62" s="40">
        <v>25017</v>
      </c>
    </row>
    <row r="63" spans="1:10" x14ac:dyDescent="0.25">
      <c r="A63" s="24">
        <f t="shared" si="5"/>
        <v>59</v>
      </c>
      <c r="B63" s="6">
        <v>0</v>
      </c>
      <c r="C63" s="37">
        <f>J63-SUM($B$4:B62)</f>
        <v>24836</v>
      </c>
      <c r="D63" s="37">
        <f t="shared" si="0"/>
        <v>0</v>
      </c>
      <c r="E63" s="26">
        <f t="shared" si="1"/>
        <v>0</v>
      </c>
      <c r="F63" s="38">
        <v>0</v>
      </c>
      <c r="G63" s="29">
        <f t="shared" si="2"/>
        <v>24836</v>
      </c>
      <c r="H63" s="28">
        <f t="shared" si="3"/>
        <v>0</v>
      </c>
      <c r="I63" s="28">
        <f t="shared" si="4"/>
        <v>0</v>
      </c>
      <c r="J63" s="40">
        <v>25017</v>
      </c>
    </row>
    <row r="64" spans="1:10" x14ac:dyDescent="0.25">
      <c r="A64" s="24">
        <f t="shared" si="5"/>
        <v>60</v>
      </c>
      <c r="B64" s="6">
        <v>0</v>
      </c>
      <c r="C64" s="37">
        <f>J64-SUM($B$4:B63)</f>
        <v>24836</v>
      </c>
      <c r="D64" s="37">
        <f t="shared" si="0"/>
        <v>0</v>
      </c>
      <c r="E64" s="26">
        <f t="shared" si="1"/>
        <v>0</v>
      </c>
      <c r="F64" s="38">
        <v>0</v>
      </c>
      <c r="G64" s="29">
        <f t="shared" si="2"/>
        <v>24836</v>
      </c>
      <c r="H64" s="28">
        <f t="shared" si="3"/>
        <v>0</v>
      </c>
      <c r="I64" s="28">
        <f t="shared" si="4"/>
        <v>0</v>
      </c>
      <c r="J64" s="40">
        <v>25017</v>
      </c>
    </row>
    <row r="65" spans="1:10" x14ac:dyDescent="0.25">
      <c r="A65" s="24">
        <f t="shared" si="5"/>
        <v>61</v>
      </c>
      <c r="B65" s="6">
        <v>0</v>
      </c>
      <c r="C65" s="37">
        <f>J65-SUM($B$4:B64)</f>
        <v>24836</v>
      </c>
      <c r="D65" s="37">
        <f t="shared" si="0"/>
        <v>0</v>
      </c>
      <c r="E65" s="26">
        <f t="shared" si="1"/>
        <v>0</v>
      </c>
      <c r="F65" s="38">
        <v>0</v>
      </c>
      <c r="G65" s="29">
        <f t="shared" si="2"/>
        <v>24836</v>
      </c>
      <c r="H65" s="28">
        <f t="shared" si="3"/>
        <v>0</v>
      </c>
      <c r="I65" s="28">
        <f t="shared" si="4"/>
        <v>0</v>
      </c>
      <c r="J65" s="40">
        <v>25017</v>
      </c>
    </row>
    <row r="66" spans="1:10" x14ac:dyDescent="0.25">
      <c r="A66" s="24">
        <f t="shared" si="5"/>
        <v>62</v>
      </c>
      <c r="B66" s="6">
        <v>0</v>
      </c>
      <c r="C66" s="37">
        <f>J66-SUM($B$4:B65)</f>
        <v>24836</v>
      </c>
      <c r="D66" s="37">
        <f t="shared" si="0"/>
        <v>0</v>
      </c>
      <c r="E66" s="26">
        <f t="shared" si="1"/>
        <v>0</v>
      </c>
      <c r="F66" s="38">
        <v>0</v>
      </c>
      <c r="G66" s="29">
        <f t="shared" si="2"/>
        <v>24836</v>
      </c>
      <c r="H66" s="28">
        <f t="shared" si="3"/>
        <v>0</v>
      </c>
      <c r="I66" s="28">
        <f t="shared" si="4"/>
        <v>0</v>
      </c>
      <c r="J66" s="40">
        <v>25017</v>
      </c>
    </row>
    <row r="67" spans="1:10" x14ac:dyDescent="0.25">
      <c r="A67" s="24">
        <f t="shared" si="5"/>
        <v>63</v>
      </c>
      <c r="B67" s="6">
        <v>0</v>
      </c>
      <c r="C67" s="37">
        <f>J67-SUM($B$4:B66)</f>
        <v>24836</v>
      </c>
      <c r="D67" s="37">
        <f t="shared" si="0"/>
        <v>0</v>
      </c>
      <c r="E67" s="26">
        <f t="shared" si="1"/>
        <v>0</v>
      </c>
      <c r="F67" s="38">
        <v>0</v>
      </c>
      <c r="G67" s="29">
        <f t="shared" si="2"/>
        <v>24836</v>
      </c>
      <c r="H67" s="28">
        <f t="shared" si="3"/>
        <v>0</v>
      </c>
      <c r="I67" s="28">
        <f t="shared" si="4"/>
        <v>0</v>
      </c>
      <c r="J67" s="40">
        <v>25017</v>
      </c>
    </row>
    <row r="68" spans="1:10" x14ac:dyDescent="0.25">
      <c r="A68" s="24">
        <f t="shared" si="5"/>
        <v>64</v>
      </c>
      <c r="B68" s="6">
        <v>0</v>
      </c>
      <c r="C68" s="37">
        <f>J68-SUM($B$4:B67)</f>
        <v>24836</v>
      </c>
      <c r="D68" s="37">
        <f t="shared" si="0"/>
        <v>0</v>
      </c>
      <c r="E68" s="26">
        <f t="shared" si="1"/>
        <v>0</v>
      </c>
      <c r="F68" s="38">
        <v>0</v>
      </c>
      <c r="G68" s="29">
        <f t="shared" si="2"/>
        <v>24836</v>
      </c>
      <c r="H68" s="28">
        <f t="shared" si="3"/>
        <v>0</v>
      </c>
      <c r="I68" s="28">
        <f t="shared" si="4"/>
        <v>0</v>
      </c>
      <c r="J68" s="40">
        <v>25017</v>
      </c>
    </row>
    <row r="69" spans="1:10" x14ac:dyDescent="0.25">
      <c r="A69" s="24">
        <f t="shared" si="5"/>
        <v>65</v>
      </c>
      <c r="B69" s="6">
        <v>0</v>
      </c>
      <c r="C69" s="37">
        <f>J69-SUM($B$4:B68)</f>
        <v>24836</v>
      </c>
      <c r="D69" s="37">
        <f t="shared" ref="D69:D96" si="6">B69/C69</f>
        <v>0</v>
      </c>
      <c r="E69" s="26">
        <f t="shared" ref="E69:E96" si="7">(2*D69)/(2+D69)</f>
        <v>0</v>
      </c>
      <c r="F69" s="38">
        <v>0</v>
      </c>
      <c r="G69" s="29">
        <f t="shared" ref="G69:G86" si="8">C69</f>
        <v>24836</v>
      </c>
      <c r="H69" s="28">
        <f t="shared" ref="H69:H86" si="9">F69/G69</f>
        <v>0</v>
      </c>
      <c r="I69" s="28">
        <f t="shared" ref="I69:I96" si="10">(2*H69)/(2+H69)</f>
        <v>0</v>
      </c>
      <c r="J69" s="40">
        <v>25017</v>
      </c>
    </row>
    <row r="70" spans="1:10" x14ac:dyDescent="0.25">
      <c r="A70" s="24">
        <f t="shared" ref="A70:A96" si="11">A69+1</f>
        <v>66</v>
      </c>
      <c r="B70" s="6">
        <v>0</v>
      </c>
      <c r="C70" s="37">
        <f>J70-SUM($B$4:B69)</f>
        <v>24836</v>
      </c>
      <c r="D70" s="37">
        <f t="shared" si="6"/>
        <v>0</v>
      </c>
      <c r="E70" s="26">
        <f t="shared" si="7"/>
        <v>0</v>
      </c>
      <c r="F70" s="38">
        <v>0</v>
      </c>
      <c r="G70" s="29">
        <f t="shared" si="8"/>
        <v>24836</v>
      </c>
      <c r="H70" s="28">
        <f t="shared" si="9"/>
        <v>0</v>
      </c>
      <c r="I70" s="28">
        <f t="shared" si="10"/>
        <v>0</v>
      </c>
      <c r="J70" s="40">
        <v>25017</v>
      </c>
    </row>
    <row r="71" spans="1:10" x14ac:dyDescent="0.25">
      <c r="A71" s="24">
        <f t="shared" si="11"/>
        <v>67</v>
      </c>
      <c r="B71" s="6">
        <v>0</v>
      </c>
      <c r="C71" s="37">
        <f>J71-SUM($B$4:B70)</f>
        <v>24836</v>
      </c>
      <c r="D71" s="37">
        <f t="shared" si="6"/>
        <v>0</v>
      </c>
      <c r="E71" s="26">
        <f t="shared" si="7"/>
        <v>0</v>
      </c>
      <c r="F71" s="38">
        <v>0</v>
      </c>
      <c r="G71" s="29">
        <f t="shared" si="8"/>
        <v>24836</v>
      </c>
      <c r="H71" s="28">
        <f t="shared" si="9"/>
        <v>0</v>
      </c>
      <c r="I71" s="28">
        <f t="shared" si="10"/>
        <v>0</v>
      </c>
      <c r="J71" s="40">
        <v>25017</v>
      </c>
    </row>
    <row r="72" spans="1:10" x14ac:dyDescent="0.25">
      <c r="A72" s="24">
        <f t="shared" si="11"/>
        <v>68</v>
      </c>
      <c r="B72" s="6">
        <v>0</v>
      </c>
      <c r="C72" s="37">
        <f>J72-SUM($B$4:B71)</f>
        <v>24836</v>
      </c>
      <c r="D72" s="37">
        <f t="shared" si="6"/>
        <v>0</v>
      </c>
      <c r="E72" s="26">
        <f t="shared" si="7"/>
        <v>0</v>
      </c>
      <c r="F72" s="38">
        <v>0</v>
      </c>
      <c r="G72" s="29">
        <f t="shared" si="8"/>
        <v>24836</v>
      </c>
      <c r="H72" s="28">
        <f t="shared" si="9"/>
        <v>0</v>
      </c>
      <c r="I72" s="28">
        <f t="shared" si="10"/>
        <v>0</v>
      </c>
      <c r="J72" s="40">
        <v>25017</v>
      </c>
    </row>
    <row r="73" spans="1:10" x14ac:dyDescent="0.25">
      <c r="A73" s="24">
        <f t="shared" si="11"/>
        <v>69</v>
      </c>
      <c r="B73" s="6">
        <v>0</v>
      </c>
      <c r="C73" s="37">
        <f>J73-SUM($B$4:B72)</f>
        <v>24836</v>
      </c>
      <c r="D73" s="37">
        <f t="shared" si="6"/>
        <v>0</v>
      </c>
      <c r="E73" s="26">
        <f t="shared" si="7"/>
        <v>0</v>
      </c>
      <c r="F73" s="38">
        <v>0</v>
      </c>
      <c r="G73" s="29">
        <f t="shared" si="8"/>
        <v>24836</v>
      </c>
      <c r="H73" s="28">
        <f t="shared" si="9"/>
        <v>0</v>
      </c>
      <c r="I73" s="28">
        <f t="shared" si="10"/>
        <v>0</v>
      </c>
      <c r="J73" s="40">
        <v>25017</v>
      </c>
    </row>
    <row r="74" spans="1:10" x14ac:dyDescent="0.25">
      <c r="A74" s="24">
        <f t="shared" si="11"/>
        <v>70</v>
      </c>
      <c r="B74" s="6">
        <v>0</v>
      </c>
      <c r="C74" s="37">
        <f>J74-SUM($B$4:B73)</f>
        <v>24836</v>
      </c>
      <c r="D74" s="37">
        <f t="shared" si="6"/>
        <v>0</v>
      </c>
      <c r="E74" s="26">
        <f t="shared" si="7"/>
        <v>0</v>
      </c>
      <c r="F74" s="38">
        <v>0</v>
      </c>
      <c r="G74" s="29">
        <f t="shared" si="8"/>
        <v>24836</v>
      </c>
      <c r="H74" s="28">
        <f t="shared" si="9"/>
        <v>0</v>
      </c>
      <c r="I74" s="28">
        <f t="shared" si="10"/>
        <v>0</v>
      </c>
      <c r="J74" s="40">
        <v>25017</v>
      </c>
    </row>
    <row r="75" spans="1:10" x14ac:dyDescent="0.25">
      <c r="A75" s="24">
        <f t="shared" si="11"/>
        <v>71</v>
      </c>
      <c r="B75" s="6">
        <v>0</v>
      </c>
      <c r="C75" s="37">
        <f>J75-SUM($B$4:B74)</f>
        <v>24836</v>
      </c>
      <c r="D75" s="37">
        <f t="shared" si="6"/>
        <v>0</v>
      </c>
      <c r="E75" s="26">
        <f t="shared" si="7"/>
        <v>0</v>
      </c>
      <c r="F75" s="38">
        <v>0</v>
      </c>
      <c r="G75" s="29">
        <f t="shared" si="8"/>
        <v>24836</v>
      </c>
      <c r="H75" s="28">
        <f t="shared" si="9"/>
        <v>0</v>
      </c>
      <c r="I75" s="28">
        <f t="shared" si="10"/>
        <v>0</v>
      </c>
      <c r="J75" s="40">
        <v>25017</v>
      </c>
    </row>
    <row r="76" spans="1:10" x14ac:dyDescent="0.25">
      <c r="A76" s="24">
        <f t="shared" si="11"/>
        <v>72</v>
      </c>
      <c r="B76" s="6">
        <v>0</v>
      </c>
      <c r="C76" s="37">
        <f>J76-SUM($B$4:B75)</f>
        <v>24836</v>
      </c>
      <c r="D76" s="37">
        <f t="shared" si="6"/>
        <v>0</v>
      </c>
      <c r="E76" s="26">
        <f t="shared" si="7"/>
        <v>0</v>
      </c>
      <c r="F76" s="38">
        <v>0</v>
      </c>
      <c r="G76" s="29">
        <f t="shared" si="8"/>
        <v>24836</v>
      </c>
      <c r="H76" s="28">
        <f t="shared" si="9"/>
        <v>0</v>
      </c>
      <c r="I76" s="28">
        <f t="shared" si="10"/>
        <v>0</v>
      </c>
      <c r="J76" s="40">
        <v>25017</v>
      </c>
    </row>
    <row r="77" spans="1:10" x14ac:dyDescent="0.25">
      <c r="A77" s="24">
        <f t="shared" si="11"/>
        <v>73</v>
      </c>
      <c r="B77" s="6">
        <v>0</v>
      </c>
      <c r="C77" s="37">
        <f>J77-SUM($B$4:B76)</f>
        <v>24836</v>
      </c>
      <c r="D77" s="37">
        <f t="shared" si="6"/>
        <v>0</v>
      </c>
      <c r="E77" s="26">
        <f t="shared" si="7"/>
        <v>0</v>
      </c>
      <c r="F77" s="38">
        <v>0</v>
      </c>
      <c r="G77" s="29">
        <f t="shared" si="8"/>
        <v>24836</v>
      </c>
      <c r="H77" s="28">
        <f t="shared" si="9"/>
        <v>0</v>
      </c>
      <c r="I77" s="28">
        <f t="shared" si="10"/>
        <v>0</v>
      </c>
      <c r="J77" s="40">
        <v>25017</v>
      </c>
    </row>
    <row r="78" spans="1:10" x14ac:dyDescent="0.25">
      <c r="A78" s="24">
        <f t="shared" si="11"/>
        <v>74</v>
      </c>
      <c r="B78" s="6">
        <v>0</v>
      </c>
      <c r="C78" s="37">
        <f>J78-SUM($B$4:B77)</f>
        <v>24836</v>
      </c>
      <c r="D78" s="37">
        <f t="shared" si="6"/>
        <v>0</v>
      </c>
      <c r="E78" s="26">
        <f t="shared" si="7"/>
        <v>0</v>
      </c>
      <c r="F78" s="38">
        <v>0</v>
      </c>
      <c r="G78" s="29">
        <f t="shared" si="8"/>
        <v>24836</v>
      </c>
      <c r="H78" s="28">
        <f t="shared" si="9"/>
        <v>0</v>
      </c>
      <c r="I78" s="28">
        <f t="shared" si="10"/>
        <v>0</v>
      </c>
      <c r="J78" s="40">
        <v>25017</v>
      </c>
    </row>
    <row r="79" spans="1:10" x14ac:dyDescent="0.25">
      <c r="A79" s="24">
        <f t="shared" si="11"/>
        <v>75</v>
      </c>
      <c r="B79" s="6">
        <v>0</v>
      </c>
      <c r="C79" s="37">
        <f>J79-SUM($B$4:B78)</f>
        <v>24836</v>
      </c>
      <c r="D79" s="37">
        <f t="shared" si="6"/>
        <v>0</v>
      </c>
      <c r="E79" s="26">
        <f t="shared" si="7"/>
        <v>0</v>
      </c>
      <c r="F79" s="38">
        <v>0</v>
      </c>
      <c r="G79" s="29">
        <f t="shared" si="8"/>
        <v>24836</v>
      </c>
      <c r="H79" s="28">
        <f t="shared" si="9"/>
        <v>0</v>
      </c>
      <c r="I79" s="28">
        <f t="shared" si="10"/>
        <v>0</v>
      </c>
      <c r="J79" s="40">
        <v>25017</v>
      </c>
    </row>
    <row r="80" spans="1:10" x14ac:dyDescent="0.25">
      <c r="A80" s="24">
        <f t="shared" si="11"/>
        <v>76</v>
      </c>
      <c r="B80" s="6">
        <v>0</v>
      </c>
      <c r="C80" s="37">
        <f>J80-SUM($B$4:B79)</f>
        <v>24836</v>
      </c>
      <c r="D80" s="37">
        <f t="shared" si="6"/>
        <v>0</v>
      </c>
      <c r="E80" s="26">
        <f t="shared" si="7"/>
        <v>0</v>
      </c>
      <c r="F80" s="38">
        <v>0</v>
      </c>
      <c r="G80" s="29">
        <f t="shared" si="8"/>
        <v>24836</v>
      </c>
      <c r="H80" s="28">
        <f t="shared" si="9"/>
        <v>0</v>
      </c>
      <c r="I80" s="28">
        <f t="shared" si="10"/>
        <v>0</v>
      </c>
      <c r="J80" s="40">
        <v>25017</v>
      </c>
    </row>
    <row r="81" spans="1:10" x14ac:dyDescent="0.25">
      <c r="A81" s="24">
        <f t="shared" si="11"/>
        <v>77</v>
      </c>
      <c r="B81" s="6">
        <v>0</v>
      </c>
      <c r="C81" s="37">
        <f>J81-SUM($B$4:B80)</f>
        <v>24836</v>
      </c>
      <c r="D81" s="37">
        <f t="shared" si="6"/>
        <v>0</v>
      </c>
      <c r="E81" s="26">
        <f t="shared" si="7"/>
        <v>0</v>
      </c>
      <c r="F81" s="38">
        <v>0</v>
      </c>
      <c r="G81" s="29">
        <f t="shared" si="8"/>
        <v>24836</v>
      </c>
      <c r="H81" s="28">
        <f t="shared" si="9"/>
        <v>0</v>
      </c>
      <c r="I81" s="28">
        <f t="shared" si="10"/>
        <v>0</v>
      </c>
      <c r="J81" s="40">
        <v>25017</v>
      </c>
    </row>
    <row r="82" spans="1:10" x14ac:dyDescent="0.25">
      <c r="A82" s="24">
        <f t="shared" si="11"/>
        <v>78</v>
      </c>
      <c r="B82" s="6">
        <v>0</v>
      </c>
      <c r="C82" s="37">
        <f>J82-SUM($B$4:B81)</f>
        <v>24836</v>
      </c>
      <c r="D82" s="37">
        <f t="shared" si="6"/>
        <v>0</v>
      </c>
      <c r="E82" s="26">
        <f t="shared" si="7"/>
        <v>0</v>
      </c>
      <c r="F82" s="38">
        <v>0</v>
      </c>
      <c r="G82" s="29">
        <f t="shared" si="8"/>
        <v>24836</v>
      </c>
      <c r="H82" s="28">
        <f t="shared" si="9"/>
        <v>0</v>
      </c>
      <c r="I82" s="28">
        <f t="shared" si="10"/>
        <v>0</v>
      </c>
      <c r="J82" s="40">
        <v>25017</v>
      </c>
    </row>
    <row r="83" spans="1:10" x14ac:dyDescent="0.25">
      <c r="A83" s="24">
        <f t="shared" si="11"/>
        <v>79</v>
      </c>
      <c r="B83" s="6">
        <v>0</v>
      </c>
      <c r="C83" s="37">
        <f>J83-SUM($B$4:B82)</f>
        <v>24836</v>
      </c>
      <c r="D83" s="37">
        <f t="shared" si="6"/>
        <v>0</v>
      </c>
      <c r="E83" s="26">
        <f t="shared" si="7"/>
        <v>0</v>
      </c>
      <c r="F83" s="38">
        <v>0</v>
      </c>
      <c r="G83" s="29">
        <f t="shared" si="8"/>
        <v>24836</v>
      </c>
      <c r="H83" s="28">
        <f t="shared" si="9"/>
        <v>0</v>
      </c>
      <c r="I83" s="28">
        <f t="shared" si="10"/>
        <v>0</v>
      </c>
      <c r="J83" s="40">
        <v>25017</v>
      </c>
    </row>
    <row r="84" spans="1:10" x14ac:dyDescent="0.25">
      <c r="A84" s="24">
        <f t="shared" si="11"/>
        <v>80</v>
      </c>
      <c r="B84" s="6">
        <v>0</v>
      </c>
      <c r="C84" s="37">
        <f>J84-SUM($B$4:B83)</f>
        <v>24836</v>
      </c>
      <c r="D84" s="37">
        <f t="shared" si="6"/>
        <v>0</v>
      </c>
      <c r="E84" s="26">
        <f t="shared" si="7"/>
        <v>0</v>
      </c>
      <c r="F84" s="38">
        <v>0</v>
      </c>
      <c r="G84" s="29">
        <f t="shared" si="8"/>
        <v>24836</v>
      </c>
      <c r="H84" s="28">
        <f t="shared" si="9"/>
        <v>0</v>
      </c>
      <c r="I84" s="28">
        <f t="shared" si="10"/>
        <v>0</v>
      </c>
      <c r="J84" s="40">
        <v>25017</v>
      </c>
    </row>
    <row r="85" spans="1:10" x14ac:dyDescent="0.25">
      <c r="A85" s="24">
        <f t="shared" si="11"/>
        <v>81</v>
      </c>
      <c r="B85" s="6">
        <v>0</v>
      </c>
      <c r="C85" s="37">
        <f>J85-SUM($B$4:B84)</f>
        <v>24836</v>
      </c>
      <c r="D85" s="37">
        <f t="shared" si="6"/>
        <v>0</v>
      </c>
      <c r="E85" s="26">
        <f t="shared" si="7"/>
        <v>0</v>
      </c>
      <c r="F85" s="38">
        <v>0</v>
      </c>
      <c r="G85" s="29">
        <f t="shared" si="8"/>
        <v>24836</v>
      </c>
      <c r="H85" s="28">
        <f t="shared" si="9"/>
        <v>0</v>
      </c>
      <c r="I85" s="28">
        <f t="shared" si="10"/>
        <v>0</v>
      </c>
      <c r="J85" s="40">
        <v>25017</v>
      </c>
    </row>
    <row r="86" spans="1:10" x14ac:dyDescent="0.25">
      <c r="A86" s="24">
        <f t="shared" si="11"/>
        <v>82</v>
      </c>
      <c r="B86" s="6">
        <v>0</v>
      </c>
      <c r="C86" s="37">
        <f>J86-SUM($B$4:B85)</f>
        <v>24836</v>
      </c>
      <c r="D86" s="37">
        <f t="shared" si="6"/>
        <v>0</v>
      </c>
      <c r="E86" s="26">
        <f t="shared" si="7"/>
        <v>0</v>
      </c>
      <c r="F86" s="38">
        <v>0</v>
      </c>
      <c r="G86" s="29">
        <f t="shared" si="8"/>
        <v>24836</v>
      </c>
      <c r="H86" s="28">
        <f t="shared" si="9"/>
        <v>0</v>
      </c>
      <c r="I86" s="28">
        <f t="shared" si="10"/>
        <v>0</v>
      </c>
      <c r="J86" s="40">
        <v>25017</v>
      </c>
    </row>
    <row r="87" spans="1:10" x14ac:dyDescent="0.25">
      <c r="A87" s="24">
        <f t="shared" si="11"/>
        <v>83</v>
      </c>
      <c r="B87" s="6">
        <v>0</v>
      </c>
      <c r="C87" s="37">
        <f>J87-SUM($B$4:B86)</f>
        <v>24836</v>
      </c>
      <c r="D87" s="37">
        <f t="shared" si="6"/>
        <v>0</v>
      </c>
      <c r="E87" s="26">
        <f t="shared" si="7"/>
        <v>0</v>
      </c>
      <c r="F87" s="38">
        <v>0</v>
      </c>
      <c r="G87" s="29">
        <f t="shared" ref="G87:G95" si="12">C87</f>
        <v>24836</v>
      </c>
      <c r="H87" s="28">
        <f t="shared" ref="H87:H95" si="13">F87/G87</f>
        <v>0</v>
      </c>
      <c r="I87" s="28">
        <f t="shared" si="10"/>
        <v>0</v>
      </c>
      <c r="J87" s="40">
        <v>25017</v>
      </c>
    </row>
    <row r="88" spans="1:10" x14ac:dyDescent="0.25">
      <c r="A88" s="24">
        <f t="shared" si="11"/>
        <v>84</v>
      </c>
      <c r="B88" s="6">
        <v>0</v>
      </c>
      <c r="C88" s="37">
        <f>J88-SUM($B$4:B87)</f>
        <v>24836</v>
      </c>
      <c r="D88" s="37">
        <f t="shared" si="6"/>
        <v>0</v>
      </c>
      <c r="E88" s="26">
        <f t="shared" si="7"/>
        <v>0</v>
      </c>
      <c r="F88" s="38">
        <v>0</v>
      </c>
      <c r="G88" s="29">
        <f t="shared" si="12"/>
        <v>24836</v>
      </c>
      <c r="H88" s="28">
        <f t="shared" si="13"/>
        <v>0</v>
      </c>
      <c r="I88" s="28">
        <f t="shared" si="10"/>
        <v>0</v>
      </c>
      <c r="J88" s="40">
        <v>25017</v>
      </c>
    </row>
    <row r="89" spans="1:10" x14ac:dyDescent="0.25">
      <c r="A89" s="24">
        <f t="shared" si="11"/>
        <v>85</v>
      </c>
      <c r="B89" s="6">
        <v>0</v>
      </c>
      <c r="C89" s="37">
        <f>J89-SUM($B$4:B88)</f>
        <v>24836</v>
      </c>
      <c r="D89" s="37">
        <f t="shared" si="6"/>
        <v>0</v>
      </c>
      <c r="E89" s="26">
        <f t="shared" si="7"/>
        <v>0</v>
      </c>
      <c r="F89" s="38">
        <v>0</v>
      </c>
      <c r="G89" s="29">
        <f t="shared" si="12"/>
        <v>24836</v>
      </c>
      <c r="H89" s="28">
        <f t="shared" si="13"/>
        <v>0</v>
      </c>
      <c r="I89" s="28">
        <f t="shared" si="10"/>
        <v>0</v>
      </c>
      <c r="J89" s="40">
        <v>25017</v>
      </c>
    </row>
    <row r="90" spans="1:10" x14ac:dyDescent="0.25">
      <c r="A90" s="24">
        <f t="shared" si="11"/>
        <v>86</v>
      </c>
      <c r="B90" s="6">
        <v>0</v>
      </c>
      <c r="C90" s="37">
        <f>J90-SUM($B$4:B89)</f>
        <v>24836</v>
      </c>
      <c r="D90" s="37">
        <f t="shared" si="6"/>
        <v>0</v>
      </c>
      <c r="E90" s="26">
        <f t="shared" si="7"/>
        <v>0</v>
      </c>
      <c r="F90" s="38">
        <v>0</v>
      </c>
      <c r="G90" s="29">
        <f t="shared" si="12"/>
        <v>24836</v>
      </c>
      <c r="H90" s="28">
        <f t="shared" si="13"/>
        <v>0</v>
      </c>
      <c r="I90" s="28">
        <f t="shared" si="10"/>
        <v>0</v>
      </c>
      <c r="J90" s="40">
        <v>25017</v>
      </c>
    </row>
    <row r="91" spans="1:10" x14ac:dyDescent="0.25">
      <c r="A91" s="24">
        <f t="shared" si="11"/>
        <v>87</v>
      </c>
      <c r="B91" s="6">
        <v>0</v>
      </c>
      <c r="C91" s="37">
        <f>J91-SUM($B$4:B90)</f>
        <v>24836</v>
      </c>
      <c r="D91" s="37">
        <f t="shared" si="6"/>
        <v>0</v>
      </c>
      <c r="E91" s="26">
        <f t="shared" si="7"/>
        <v>0</v>
      </c>
      <c r="F91" s="38">
        <v>0</v>
      </c>
      <c r="G91" s="29">
        <f t="shared" si="12"/>
        <v>24836</v>
      </c>
      <c r="H91" s="28">
        <f t="shared" si="13"/>
        <v>0</v>
      </c>
      <c r="I91" s="28">
        <f t="shared" si="10"/>
        <v>0</v>
      </c>
      <c r="J91" s="40">
        <v>25017</v>
      </c>
    </row>
    <row r="92" spans="1:10" x14ac:dyDescent="0.25">
      <c r="A92" s="24">
        <f t="shared" si="11"/>
        <v>88</v>
      </c>
      <c r="B92" s="6">
        <v>0</v>
      </c>
      <c r="C92" s="37">
        <f>J92-SUM($B$4:B91)</f>
        <v>24836</v>
      </c>
      <c r="D92" s="37">
        <f t="shared" si="6"/>
        <v>0</v>
      </c>
      <c r="E92" s="26">
        <f t="shared" si="7"/>
        <v>0</v>
      </c>
      <c r="F92" s="38">
        <v>0</v>
      </c>
      <c r="G92" s="29">
        <f t="shared" si="12"/>
        <v>24836</v>
      </c>
      <c r="H92" s="28">
        <f t="shared" si="13"/>
        <v>0</v>
      </c>
      <c r="I92" s="28">
        <f t="shared" si="10"/>
        <v>0</v>
      </c>
      <c r="J92" s="40">
        <v>25017</v>
      </c>
    </row>
    <row r="93" spans="1:10" x14ac:dyDescent="0.25">
      <c r="A93" s="24">
        <f t="shared" si="11"/>
        <v>89</v>
      </c>
      <c r="B93" s="6">
        <v>0</v>
      </c>
      <c r="C93" s="37">
        <f>J93-SUM($B$4:B92)</f>
        <v>24836</v>
      </c>
      <c r="D93" s="37">
        <f t="shared" si="6"/>
        <v>0</v>
      </c>
      <c r="E93" s="26">
        <f t="shared" si="7"/>
        <v>0</v>
      </c>
      <c r="F93" s="38">
        <v>0</v>
      </c>
      <c r="G93" s="29">
        <f t="shared" si="12"/>
        <v>24836</v>
      </c>
      <c r="H93" s="28">
        <f t="shared" si="13"/>
        <v>0</v>
      </c>
      <c r="I93" s="28">
        <f t="shared" si="10"/>
        <v>0</v>
      </c>
      <c r="J93" s="40">
        <v>25017</v>
      </c>
    </row>
    <row r="94" spans="1:10" x14ac:dyDescent="0.25">
      <c r="A94" s="24">
        <f t="shared" si="11"/>
        <v>90</v>
      </c>
      <c r="B94" s="6">
        <v>0</v>
      </c>
      <c r="C94" s="37">
        <f>J94-SUM($B$4:B93)</f>
        <v>24836</v>
      </c>
      <c r="D94" s="37">
        <f t="shared" si="6"/>
        <v>0</v>
      </c>
      <c r="E94" s="26">
        <f t="shared" si="7"/>
        <v>0</v>
      </c>
      <c r="F94" s="38">
        <v>0</v>
      </c>
      <c r="G94" s="29">
        <f t="shared" si="12"/>
        <v>24836</v>
      </c>
      <c r="H94" s="28">
        <f t="shared" si="13"/>
        <v>0</v>
      </c>
      <c r="I94" s="28">
        <f t="shared" si="10"/>
        <v>0</v>
      </c>
      <c r="J94" s="40">
        <v>25017</v>
      </c>
    </row>
    <row r="95" spans="1:10" x14ac:dyDescent="0.25">
      <c r="A95" s="24">
        <f t="shared" si="11"/>
        <v>91</v>
      </c>
      <c r="B95" s="6">
        <v>0</v>
      </c>
      <c r="C95" s="37">
        <f>J95-SUM($B$4:B94)</f>
        <v>24836</v>
      </c>
      <c r="D95" s="37">
        <f t="shared" si="6"/>
        <v>0</v>
      </c>
      <c r="E95" s="26">
        <f t="shared" si="7"/>
        <v>0</v>
      </c>
      <c r="F95" s="38">
        <v>0</v>
      </c>
      <c r="G95" s="29">
        <f t="shared" si="12"/>
        <v>24836</v>
      </c>
      <c r="H95" s="28">
        <f t="shared" si="13"/>
        <v>0</v>
      </c>
      <c r="I95" s="28">
        <f t="shared" si="10"/>
        <v>0</v>
      </c>
      <c r="J95" s="40">
        <v>25017</v>
      </c>
    </row>
    <row r="96" spans="1:10" x14ac:dyDescent="0.25">
      <c r="A96" s="24">
        <f t="shared" si="11"/>
        <v>92</v>
      </c>
      <c r="B96" s="6">
        <v>0</v>
      </c>
      <c r="C96" s="37">
        <f>J96-SUM($B$4:B95)</f>
        <v>24836</v>
      </c>
      <c r="D96" s="37">
        <f t="shared" si="6"/>
        <v>0</v>
      </c>
      <c r="E96" s="26">
        <f t="shared" si="7"/>
        <v>0</v>
      </c>
      <c r="F96" s="38">
        <v>0</v>
      </c>
      <c r="G96" s="29">
        <f>C96</f>
        <v>24836</v>
      </c>
      <c r="H96" s="28">
        <f>F96/G96</f>
        <v>0</v>
      </c>
      <c r="I96" s="28">
        <f t="shared" si="10"/>
        <v>0</v>
      </c>
      <c r="J96" s="40">
        <v>25017</v>
      </c>
    </row>
    <row r="97" spans="1:1" x14ac:dyDescent="0.25">
      <c r="A97" s="1" t="s">
        <v>32</v>
      </c>
    </row>
    <row r="98" spans="1:1" x14ac:dyDescent="0.25">
      <c r="A98" s="1" t="s">
        <v>34</v>
      </c>
    </row>
    <row r="99" spans="1:1" x14ac:dyDescent="0.25">
      <c r="A99" s="1" t="s">
        <v>37</v>
      </c>
    </row>
    <row r="101" spans="1:1" x14ac:dyDescent="0.25">
      <c r="A101" s="1" t="s">
        <v>35</v>
      </c>
    </row>
    <row r="102" spans="1:1" x14ac:dyDescent="0.25">
      <c r="A102" s="1" t="s">
        <v>36</v>
      </c>
    </row>
  </sheetData>
  <mergeCells count="2">
    <mergeCell ref="F2:H2"/>
    <mergeCell ref="A2:D2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DA4AB-481E-4AAF-92BA-8A1DFAB1A960}">
  <sheetPr codeName="Hoja2"/>
  <dimension ref="A1:J101"/>
  <sheetViews>
    <sheetView zoomScale="115" zoomScaleNormal="115" workbookViewId="0">
      <selection activeCell="F12" sqref="F12"/>
    </sheetView>
  </sheetViews>
  <sheetFormatPr baseColWidth="10" defaultRowHeight="15" x14ac:dyDescent="0.25"/>
  <cols>
    <col min="1" max="1" width="8.140625" style="1" bestFit="1" customWidth="1"/>
    <col min="2" max="2" width="15.5703125" style="1" customWidth="1"/>
    <col min="3" max="3" width="15.7109375" style="1" customWidth="1"/>
    <col min="4" max="5" width="12.85546875" style="1" customWidth="1"/>
    <col min="6" max="6" width="15.7109375" style="1" customWidth="1"/>
    <col min="7" max="7" width="15.7109375" style="3" customWidth="1"/>
    <col min="8" max="9" width="12.85546875" style="1" customWidth="1"/>
    <col min="10" max="10" width="15.7109375" style="1" customWidth="1"/>
    <col min="11" max="16384" width="11.42578125" style="1"/>
  </cols>
  <sheetData>
    <row r="1" spans="1:10" ht="15.75" thickBot="1" x14ac:dyDescent="0.3">
      <c r="G1" s="1"/>
    </row>
    <row r="2" spans="1:10" x14ac:dyDescent="0.25">
      <c r="A2" s="92" t="s">
        <v>38</v>
      </c>
      <c r="B2" s="93"/>
      <c r="C2" s="94"/>
      <c r="F2" s="89" t="s">
        <v>12</v>
      </c>
      <c r="G2" s="90"/>
      <c r="H2" s="91"/>
    </row>
    <row r="3" spans="1:10" ht="45" customHeight="1" x14ac:dyDescent="0.25">
      <c r="A3" s="33" t="s">
        <v>33</v>
      </c>
      <c r="B3" s="31" t="s">
        <v>28</v>
      </c>
      <c r="C3" s="30" t="s">
        <v>42</v>
      </c>
      <c r="D3" s="34" t="s">
        <v>30</v>
      </c>
      <c r="E3" s="36" t="s">
        <v>31</v>
      </c>
      <c r="F3" s="35" t="s">
        <v>29</v>
      </c>
      <c r="G3" s="32" t="s">
        <v>42</v>
      </c>
      <c r="H3" s="35" t="s">
        <v>30</v>
      </c>
      <c r="I3" s="35" t="s">
        <v>31</v>
      </c>
      <c r="J3" s="39" t="s">
        <v>43</v>
      </c>
    </row>
    <row r="4" spans="1:10" x14ac:dyDescent="0.25">
      <c r="A4" s="24">
        <v>0</v>
      </c>
      <c r="B4" s="6">
        <v>501</v>
      </c>
      <c r="C4" s="37">
        <f>J4</f>
        <v>504923</v>
      </c>
      <c r="D4" s="43">
        <f>B4/C4</f>
        <v>9.9223049851165424E-4</v>
      </c>
      <c r="E4" s="26">
        <f>(2*D4)/(2+D4)</f>
        <v>9.9173848192749621E-4</v>
      </c>
      <c r="F4" s="38">
        <v>1859</v>
      </c>
      <c r="G4" s="29">
        <f>C4</f>
        <v>504923</v>
      </c>
      <c r="H4" s="28">
        <f>F4/G4</f>
        <v>3.6817494944773759E-3</v>
      </c>
      <c r="I4" s="28">
        <f>(2*H4)/(2+H4)</f>
        <v>3.6749843086670521E-3</v>
      </c>
      <c r="J4" s="41">
        <v>504923</v>
      </c>
    </row>
    <row r="5" spans="1:10" x14ac:dyDescent="0.25">
      <c r="A5" s="24">
        <f>A4+1</f>
        <v>1</v>
      </c>
      <c r="B5" s="6">
        <v>1376</v>
      </c>
      <c r="C5" s="37">
        <f>J5-B4</f>
        <v>500797</v>
      </c>
      <c r="D5" s="43">
        <f t="shared" ref="D5:D68" si="0">B5/C5</f>
        <v>2.7476202932525556E-3</v>
      </c>
      <c r="E5" s="26">
        <f t="shared" ref="E5:E68" si="1">(2*D5)/(2+D5)</f>
        <v>2.7438507632331975E-3</v>
      </c>
      <c r="F5" s="38">
        <v>4344</v>
      </c>
      <c r="G5" s="29">
        <f t="shared" ref="G5:G68" si="2">C5</f>
        <v>500797</v>
      </c>
      <c r="H5" s="28">
        <f t="shared" ref="H5:H68" si="3">F5/G5</f>
        <v>8.674173367651963E-3</v>
      </c>
      <c r="I5" s="28">
        <f t="shared" ref="I5:I68" si="4">(2*H5)/(2+H5)</f>
        <v>8.6367151852301035E-3</v>
      </c>
      <c r="J5" s="41">
        <v>501298</v>
      </c>
    </row>
    <row r="6" spans="1:10" x14ac:dyDescent="0.25">
      <c r="A6" s="24">
        <f t="shared" ref="A6:A69" si="5">A5+1</f>
        <v>2</v>
      </c>
      <c r="B6" s="6">
        <v>1291</v>
      </c>
      <c r="C6" s="42">
        <f>J6-SUM($B$4:B5)</f>
        <v>526801</v>
      </c>
      <c r="D6" s="43">
        <f t="shared" si="0"/>
        <v>2.4506407542886212E-3</v>
      </c>
      <c r="E6" s="26">
        <f t="shared" si="1"/>
        <v>2.4476416091489843E-3</v>
      </c>
      <c r="F6" s="38">
        <v>5310</v>
      </c>
      <c r="G6" s="29">
        <f t="shared" si="2"/>
        <v>526801</v>
      </c>
      <c r="H6" s="28">
        <f t="shared" si="3"/>
        <v>1.0079707517639489E-2</v>
      </c>
      <c r="I6" s="28">
        <f t="shared" si="4"/>
        <v>1.0029162007796683E-2</v>
      </c>
      <c r="J6" s="41">
        <v>528678</v>
      </c>
    </row>
    <row r="7" spans="1:10" x14ac:dyDescent="0.25">
      <c r="A7" s="24">
        <f t="shared" si="5"/>
        <v>3</v>
      </c>
      <c r="B7" s="6">
        <v>1121</v>
      </c>
      <c r="C7" s="42">
        <f>J7-SUM($B$4:B6)</f>
        <v>540581</v>
      </c>
      <c r="D7" s="43">
        <f t="shared" si="0"/>
        <v>2.0736947839454217E-3</v>
      </c>
      <c r="E7" s="26">
        <f t="shared" si="1"/>
        <v>2.0715469059386501E-3</v>
      </c>
      <c r="F7" s="38">
        <v>5848</v>
      </c>
      <c r="G7" s="29">
        <f t="shared" si="2"/>
        <v>540581</v>
      </c>
      <c r="H7" s="28">
        <f t="shared" si="3"/>
        <v>1.0817990273428033E-2</v>
      </c>
      <c r="I7" s="28">
        <f t="shared" si="4"/>
        <v>1.0759790618301578E-2</v>
      </c>
      <c r="J7" s="41">
        <v>543749</v>
      </c>
    </row>
    <row r="8" spans="1:10" x14ac:dyDescent="0.25">
      <c r="A8" s="24">
        <f t="shared" si="5"/>
        <v>4</v>
      </c>
      <c r="B8" s="6">
        <v>949</v>
      </c>
      <c r="C8" s="42">
        <f>J8-SUM($B$4:B7)</f>
        <v>553733</v>
      </c>
      <c r="D8" s="43">
        <f t="shared" si="0"/>
        <v>1.7138223656527605E-3</v>
      </c>
      <c r="E8" s="26">
        <f t="shared" si="1"/>
        <v>1.712355029479031E-3</v>
      </c>
      <c r="F8" s="38">
        <v>6269</v>
      </c>
      <c r="G8" s="29">
        <f t="shared" si="2"/>
        <v>553733</v>
      </c>
      <c r="H8" s="28">
        <f t="shared" si="3"/>
        <v>1.1321340790597635E-2</v>
      </c>
      <c r="I8" s="28">
        <f t="shared" si="4"/>
        <v>1.125761514184254E-2</v>
      </c>
      <c r="J8" s="41">
        <v>558022</v>
      </c>
    </row>
    <row r="9" spans="1:10" x14ac:dyDescent="0.25">
      <c r="A9" s="24">
        <f t="shared" si="5"/>
        <v>5</v>
      </c>
      <c r="B9" s="6">
        <v>798</v>
      </c>
      <c r="C9" s="42">
        <f>J9-SUM($B$4:B8)</f>
        <v>572475</v>
      </c>
      <c r="D9" s="43">
        <f t="shared" si="0"/>
        <v>1.3939473339447137E-3</v>
      </c>
      <c r="E9" s="26">
        <f t="shared" si="1"/>
        <v>1.392976466029179E-3</v>
      </c>
      <c r="F9" s="38">
        <v>6268</v>
      </c>
      <c r="G9" s="29">
        <f t="shared" si="2"/>
        <v>572475</v>
      </c>
      <c r="H9" s="28">
        <f t="shared" si="3"/>
        <v>1.0948949735796323E-2</v>
      </c>
      <c r="I9" s="28">
        <f t="shared" si="4"/>
        <v>1.0889336337687563E-2</v>
      </c>
      <c r="J9" s="41">
        <v>577713</v>
      </c>
    </row>
    <row r="10" spans="1:10" x14ac:dyDescent="0.25">
      <c r="A10" s="24">
        <f t="shared" si="5"/>
        <v>6</v>
      </c>
      <c r="B10" s="6">
        <v>623</v>
      </c>
      <c r="C10" s="42">
        <f>J10-SUM($B$4:B9)</f>
        <v>577228</v>
      </c>
      <c r="D10" s="43">
        <f t="shared" si="0"/>
        <v>1.0792962226364626E-3</v>
      </c>
      <c r="E10" s="26">
        <f t="shared" si="1"/>
        <v>1.0787140966115739E-3</v>
      </c>
      <c r="F10" s="38">
        <v>6122</v>
      </c>
      <c r="G10" s="29">
        <f t="shared" si="2"/>
        <v>577228</v>
      </c>
      <c r="H10" s="28">
        <f t="shared" si="3"/>
        <v>1.0605861115538401E-2</v>
      </c>
      <c r="I10" s="28">
        <f t="shared" si="4"/>
        <v>1.0549915645480098E-2</v>
      </c>
      <c r="J10" s="41">
        <v>583264</v>
      </c>
    </row>
    <row r="11" spans="1:10" x14ac:dyDescent="0.25">
      <c r="A11" s="24">
        <f t="shared" si="5"/>
        <v>7</v>
      </c>
      <c r="B11" s="6">
        <v>509</v>
      </c>
      <c r="C11" s="42">
        <f>J11-SUM($B$4:B10)</f>
        <v>578775</v>
      </c>
      <c r="D11" s="43">
        <f t="shared" si="0"/>
        <v>8.794436525420068E-4</v>
      </c>
      <c r="E11" s="26">
        <f t="shared" si="1"/>
        <v>8.7905711194334656E-4</v>
      </c>
      <c r="F11" s="38">
        <v>5904</v>
      </c>
      <c r="G11" s="29">
        <f t="shared" si="2"/>
        <v>578775</v>
      </c>
      <c r="H11" s="28">
        <f t="shared" si="3"/>
        <v>1.0200855254632629E-2</v>
      </c>
      <c r="I11" s="28">
        <f t="shared" si="4"/>
        <v>1.0149090552785069E-2</v>
      </c>
      <c r="J11" s="41">
        <v>585434</v>
      </c>
    </row>
    <row r="12" spans="1:10" x14ac:dyDescent="0.25">
      <c r="A12" s="24">
        <f t="shared" si="5"/>
        <v>8</v>
      </c>
      <c r="B12" s="6">
        <v>411</v>
      </c>
      <c r="C12" s="42">
        <f>J12-SUM($B$4:B11)</f>
        <v>563786</v>
      </c>
      <c r="D12" s="43">
        <f t="shared" si="0"/>
        <v>7.2900001064233591E-4</v>
      </c>
      <c r="E12" s="26">
        <f t="shared" si="1"/>
        <v>7.2873438695441326E-4</v>
      </c>
      <c r="F12" s="38">
        <v>5538</v>
      </c>
      <c r="G12" s="29">
        <f t="shared" si="2"/>
        <v>563786</v>
      </c>
      <c r="H12" s="28">
        <f t="shared" si="3"/>
        <v>9.8228760558084095E-3</v>
      </c>
      <c r="I12" s="28">
        <f t="shared" si="4"/>
        <v>9.7748674003406543E-3</v>
      </c>
      <c r="J12" s="41">
        <v>570954</v>
      </c>
    </row>
    <row r="13" spans="1:10" x14ac:dyDescent="0.25">
      <c r="A13" s="24">
        <f t="shared" si="5"/>
        <v>9</v>
      </c>
      <c r="B13" s="6">
        <v>351</v>
      </c>
      <c r="C13" s="42">
        <f>J13-SUM($B$4:B12)</f>
        <v>561053</v>
      </c>
      <c r="D13" s="43">
        <f t="shared" si="0"/>
        <v>6.2560934528467006E-4</v>
      </c>
      <c r="E13" s="26">
        <f t="shared" si="1"/>
        <v>6.2541371295292371E-4</v>
      </c>
      <c r="F13" s="38">
        <v>5060</v>
      </c>
      <c r="G13" s="29">
        <f t="shared" si="2"/>
        <v>561053</v>
      </c>
      <c r="H13" s="28">
        <f t="shared" si="3"/>
        <v>9.0187558038188897E-3</v>
      </c>
      <c r="I13" s="28">
        <f t="shared" si="4"/>
        <v>8.9782693942152252E-3</v>
      </c>
      <c r="J13" s="41">
        <v>568632</v>
      </c>
    </row>
    <row r="14" spans="1:10" x14ac:dyDescent="0.25">
      <c r="A14" s="24">
        <f t="shared" si="5"/>
        <v>10</v>
      </c>
      <c r="B14" s="6">
        <v>280</v>
      </c>
      <c r="C14" s="42">
        <f>J14-SUM($B$4:B13)</f>
        <v>550983</v>
      </c>
      <c r="D14" s="43">
        <f t="shared" si="0"/>
        <v>5.0818264810348053E-4</v>
      </c>
      <c r="E14" s="26">
        <f t="shared" si="1"/>
        <v>5.0805355610272123E-4</v>
      </c>
      <c r="F14" s="38">
        <v>5058</v>
      </c>
      <c r="G14" s="29">
        <f t="shared" si="2"/>
        <v>550983</v>
      </c>
      <c r="H14" s="28">
        <f t="shared" si="3"/>
        <v>9.1799565503835872E-3</v>
      </c>
      <c r="I14" s="28">
        <f t="shared" si="4"/>
        <v>9.13801326800503E-3</v>
      </c>
      <c r="J14" s="41">
        <v>558913</v>
      </c>
    </row>
    <row r="15" spans="1:10" x14ac:dyDescent="0.25">
      <c r="A15" s="24">
        <f t="shared" si="5"/>
        <v>11</v>
      </c>
      <c r="B15" s="6">
        <v>243</v>
      </c>
      <c r="C15" s="42">
        <f>J15-SUM($B$4:B14)</f>
        <v>581142</v>
      </c>
      <c r="D15" s="43">
        <f t="shared" si="0"/>
        <v>4.1814220964927676E-4</v>
      </c>
      <c r="E15" s="26">
        <f t="shared" si="1"/>
        <v>4.1805480646901104E-4</v>
      </c>
      <c r="F15" s="38">
        <v>5014</v>
      </c>
      <c r="G15" s="29">
        <f t="shared" si="2"/>
        <v>581142</v>
      </c>
      <c r="H15" s="28">
        <f t="shared" si="3"/>
        <v>8.6278396674134717E-3</v>
      </c>
      <c r="I15" s="28">
        <f t="shared" si="4"/>
        <v>8.5907797323391284E-3</v>
      </c>
      <c r="J15" s="41">
        <v>589352</v>
      </c>
    </row>
    <row r="16" spans="1:10" x14ac:dyDescent="0.25">
      <c r="A16" s="24">
        <f t="shared" si="5"/>
        <v>12</v>
      </c>
      <c r="B16" s="6">
        <v>187</v>
      </c>
      <c r="C16" s="42">
        <f>J16-SUM($B$4:B15)</f>
        <v>586756</v>
      </c>
      <c r="D16" s="43">
        <f t="shared" si="0"/>
        <v>3.1870147045790756E-4</v>
      </c>
      <c r="E16" s="26">
        <f t="shared" si="1"/>
        <v>3.1865069323565927E-4</v>
      </c>
      <c r="F16" s="38">
        <v>4871</v>
      </c>
      <c r="G16" s="29">
        <f t="shared" si="2"/>
        <v>586756</v>
      </c>
      <c r="H16" s="28">
        <f t="shared" si="3"/>
        <v>8.3015768053500937E-3</v>
      </c>
      <c r="I16" s="28">
        <f t="shared" si="4"/>
        <v>8.267261153631713E-3</v>
      </c>
      <c r="J16" s="41">
        <v>595209</v>
      </c>
    </row>
    <row r="17" spans="1:10" x14ac:dyDescent="0.25">
      <c r="A17" s="24">
        <f t="shared" si="5"/>
        <v>13</v>
      </c>
      <c r="B17" s="6">
        <v>204</v>
      </c>
      <c r="C17" s="42">
        <f>J17-SUM($B$4:B16)</f>
        <v>578338</v>
      </c>
      <c r="D17" s="43">
        <f t="shared" si="0"/>
        <v>3.5273490588548566E-4</v>
      </c>
      <c r="E17" s="26">
        <f t="shared" si="1"/>
        <v>3.526727058986239E-4</v>
      </c>
      <c r="F17" s="38">
        <v>4472</v>
      </c>
      <c r="G17" s="29">
        <f t="shared" si="2"/>
        <v>578338</v>
      </c>
      <c r="H17" s="28">
        <f t="shared" si="3"/>
        <v>7.7325024466661368E-3</v>
      </c>
      <c r="I17" s="28">
        <f t="shared" si="4"/>
        <v>7.7027217891259339E-3</v>
      </c>
      <c r="J17" s="41">
        <v>586978</v>
      </c>
    </row>
    <row r="18" spans="1:10" x14ac:dyDescent="0.25">
      <c r="A18" s="24">
        <f t="shared" si="5"/>
        <v>14</v>
      </c>
      <c r="B18" s="6">
        <v>174</v>
      </c>
      <c r="C18" s="42">
        <f>J18-SUM($B$4:B17)</f>
        <v>586869</v>
      </c>
      <c r="D18" s="43">
        <f t="shared" si="0"/>
        <v>2.9648865419710363E-4</v>
      </c>
      <c r="E18" s="26">
        <f t="shared" si="1"/>
        <v>2.9644470795085152E-4</v>
      </c>
      <c r="F18" s="38">
        <v>4300</v>
      </c>
      <c r="G18" s="29">
        <f t="shared" si="2"/>
        <v>586869</v>
      </c>
      <c r="H18" s="28">
        <f t="shared" si="3"/>
        <v>7.3270184657904915E-3</v>
      </c>
      <c r="I18" s="28">
        <f t="shared" si="4"/>
        <v>7.3002738451560991E-3</v>
      </c>
      <c r="J18" s="41">
        <v>595713</v>
      </c>
    </row>
    <row r="19" spans="1:10" x14ac:dyDescent="0.25">
      <c r="A19" s="24">
        <f t="shared" si="5"/>
        <v>15</v>
      </c>
      <c r="B19" s="6">
        <v>141</v>
      </c>
      <c r="C19" s="42">
        <f>J19-SUM($B$4:B18)</f>
        <v>591545</v>
      </c>
      <c r="D19" s="43">
        <f t="shared" si="0"/>
        <v>2.3835887379658352E-4</v>
      </c>
      <c r="E19" s="26">
        <f t="shared" si="1"/>
        <v>2.3833046970540833E-4</v>
      </c>
      <c r="F19" s="38">
        <v>4183</v>
      </c>
      <c r="G19" s="29">
        <f t="shared" si="2"/>
        <v>591545</v>
      </c>
      <c r="H19" s="28">
        <f t="shared" si="3"/>
        <v>7.0713132559653115E-3</v>
      </c>
      <c r="I19" s="28">
        <f t="shared" si="4"/>
        <v>7.0463996064931986E-3</v>
      </c>
      <c r="J19" s="41">
        <v>600563</v>
      </c>
    </row>
    <row r="20" spans="1:10" x14ac:dyDescent="0.25">
      <c r="A20" s="24">
        <f t="shared" si="5"/>
        <v>16</v>
      </c>
      <c r="B20" s="6">
        <v>139</v>
      </c>
      <c r="C20" s="42">
        <f>J20-SUM($B$4:B19)</f>
        <v>574983</v>
      </c>
      <c r="D20" s="43">
        <f t="shared" si="0"/>
        <v>2.4174627771603681E-4</v>
      </c>
      <c r="E20" s="26">
        <f t="shared" si="1"/>
        <v>2.4171706061620459E-4</v>
      </c>
      <c r="F20" s="38">
        <v>4021</v>
      </c>
      <c r="G20" s="29">
        <f t="shared" si="2"/>
        <v>574983</v>
      </c>
      <c r="H20" s="28">
        <f t="shared" si="3"/>
        <v>6.9932502352243455E-3</v>
      </c>
      <c r="I20" s="28">
        <f t="shared" si="4"/>
        <v>6.968882665056019E-3</v>
      </c>
      <c r="J20" s="41">
        <v>584142</v>
      </c>
    </row>
    <row r="21" spans="1:10" x14ac:dyDescent="0.25">
      <c r="A21" s="24">
        <f t="shared" si="5"/>
        <v>17</v>
      </c>
      <c r="B21" s="6">
        <v>162</v>
      </c>
      <c r="C21" s="42">
        <f>J21-SUM($B$4:B20)</f>
        <v>607356</v>
      </c>
      <c r="D21" s="43">
        <f t="shared" si="0"/>
        <v>2.6672989152984409E-4</v>
      </c>
      <c r="E21" s="26">
        <f t="shared" si="1"/>
        <v>2.6669432385580723E-4</v>
      </c>
      <c r="F21" s="38">
        <v>4087</v>
      </c>
      <c r="G21" s="29">
        <f t="shared" si="2"/>
        <v>607356</v>
      </c>
      <c r="H21" s="28">
        <f t="shared" si="3"/>
        <v>6.7291670782868695E-3</v>
      </c>
      <c r="I21" s="28">
        <f t="shared" si="4"/>
        <v>6.7066021550723299E-3</v>
      </c>
      <c r="J21" s="41">
        <v>616654</v>
      </c>
    </row>
    <row r="22" spans="1:10" x14ac:dyDescent="0.25">
      <c r="A22" s="24">
        <f t="shared" si="5"/>
        <v>18</v>
      </c>
      <c r="B22" s="6">
        <v>188</v>
      </c>
      <c r="C22" s="42">
        <f>J22-SUM($B$4:B21)</f>
        <v>655974</v>
      </c>
      <c r="D22" s="43">
        <f t="shared" si="0"/>
        <v>2.8659672487019302E-4</v>
      </c>
      <c r="E22" s="26">
        <f t="shared" si="1"/>
        <v>2.8655566191309435E-4</v>
      </c>
      <c r="F22" s="38">
        <v>4224</v>
      </c>
      <c r="G22" s="29">
        <f t="shared" si="2"/>
        <v>655974</v>
      </c>
      <c r="H22" s="28">
        <f t="shared" si="3"/>
        <v>6.4392796055941243E-3</v>
      </c>
      <c r="I22" s="28">
        <f t="shared" si="4"/>
        <v>6.418613980543577E-3</v>
      </c>
      <c r="J22" s="41">
        <v>665434</v>
      </c>
    </row>
    <row r="23" spans="1:10" x14ac:dyDescent="0.25">
      <c r="A23" s="24">
        <f t="shared" si="5"/>
        <v>19</v>
      </c>
      <c r="B23" s="6">
        <v>230</v>
      </c>
      <c r="C23" s="42">
        <f>J23-SUM($B$4:B22)</f>
        <v>697774</v>
      </c>
      <c r="D23" s="43">
        <f t="shared" si="0"/>
        <v>3.2961961895972046E-4</v>
      </c>
      <c r="E23" s="26">
        <f t="shared" si="1"/>
        <v>3.2956530336486169E-4</v>
      </c>
      <c r="F23" s="38">
        <v>4298</v>
      </c>
      <c r="G23" s="29">
        <f t="shared" si="2"/>
        <v>697774</v>
      </c>
      <c r="H23" s="28">
        <f t="shared" si="3"/>
        <v>6.1595874882125158E-3</v>
      </c>
      <c r="I23" s="28">
        <f t="shared" si="4"/>
        <v>6.140675474302173E-3</v>
      </c>
      <c r="J23" s="41">
        <v>707422</v>
      </c>
    </row>
    <row r="24" spans="1:10" x14ac:dyDescent="0.25">
      <c r="A24" s="24">
        <f t="shared" si="5"/>
        <v>20</v>
      </c>
      <c r="B24" s="6">
        <v>221</v>
      </c>
      <c r="C24" s="42">
        <f>J24-SUM($B$4:B23)</f>
        <v>733978</v>
      </c>
      <c r="D24" s="43">
        <f t="shared" si="0"/>
        <v>3.0109894302009053E-4</v>
      </c>
      <c r="E24" s="26">
        <f t="shared" si="1"/>
        <v>3.0105361955677011E-4</v>
      </c>
      <c r="F24" s="38">
        <v>4142</v>
      </c>
      <c r="G24" s="29">
        <f t="shared" si="2"/>
        <v>733978</v>
      </c>
      <c r="H24" s="28">
        <f t="shared" si="3"/>
        <v>5.6432209139783479E-3</v>
      </c>
      <c r="I24" s="28">
        <f t="shared" si="4"/>
        <v>5.6273427448444331E-3</v>
      </c>
      <c r="J24" s="41">
        <v>743856</v>
      </c>
    </row>
    <row r="25" spans="1:10" x14ac:dyDescent="0.25">
      <c r="A25" s="24">
        <f t="shared" si="5"/>
        <v>21</v>
      </c>
      <c r="B25" s="6">
        <v>265</v>
      </c>
      <c r="C25" s="42">
        <f>J25-SUM($B$4:B24)</f>
        <v>694357</v>
      </c>
      <c r="D25" s="43">
        <f t="shared" si="0"/>
        <v>3.8164805712335298E-4</v>
      </c>
      <c r="E25" s="26">
        <f t="shared" si="1"/>
        <v>3.8157524339820832E-4</v>
      </c>
      <c r="F25" s="38">
        <v>3883</v>
      </c>
      <c r="G25" s="29">
        <f t="shared" si="2"/>
        <v>694357</v>
      </c>
      <c r="H25" s="28">
        <f t="shared" si="3"/>
        <v>5.5922241728678474E-3</v>
      </c>
      <c r="I25" s="28">
        <f t="shared" si="4"/>
        <v>5.5766312867254492E-3</v>
      </c>
      <c r="J25" s="41">
        <v>704456</v>
      </c>
    </row>
    <row r="26" spans="1:10" x14ac:dyDescent="0.25">
      <c r="A26" s="24">
        <f t="shared" si="5"/>
        <v>22</v>
      </c>
      <c r="B26" s="6">
        <v>236</v>
      </c>
      <c r="C26" s="42">
        <f>J26-SUM($B$4:B25)</f>
        <v>697476</v>
      </c>
      <c r="D26" s="43">
        <f t="shared" si="0"/>
        <v>3.3836289707459466E-4</v>
      </c>
      <c r="E26" s="26">
        <f t="shared" si="1"/>
        <v>3.3830566203264356E-4</v>
      </c>
      <c r="F26" s="38">
        <v>3612</v>
      </c>
      <c r="G26" s="29">
        <f t="shared" si="2"/>
        <v>697476</v>
      </c>
      <c r="H26" s="28">
        <f t="shared" si="3"/>
        <v>5.1786728145484578E-3</v>
      </c>
      <c r="I26" s="28">
        <f t="shared" si="4"/>
        <v>5.1652981200717308E-3</v>
      </c>
      <c r="J26" s="41">
        <v>707840</v>
      </c>
    </row>
    <row r="27" spans="1:10" x14ac:dyDescent="0.25">
      <c r="A27" s="24">
        <f t="shared" si="5"/>
        <v>23</v>
      </c>
      <c r="B27" s="6">
        <v>256</v>
      </c>
      <c r="C27" s="42">
        <f>J27-SUM($B$4:B26)</f>
        <v>659923</v>
      </c>
      <c r="D27" s="43">
        <f t="shared" si="0"/>
        <v>3.8792404568411767E-4</v>
      </c>
      <c r="E27" s="26">
        <f t="shared" si="1"/>
        <v>3.8784881774287135E-4</v>
      </c>
      <c r="F27" s="38">
        <v>3283</v>
      </c>
      <c r="G27" s="29">
        <f t="shared" si="2"/>
        <v>659923</v>
      </c>
      <c r="H27" s="28">
        <f t="shared" si="3"/>
        <v>4.974822820238119E-3</v>
      </c>
      <c r="I27" s="28">
        <f t="shared" si="4"/>
        <v>4.9624790931194172E-3</v>
      </c>
      <c r="J27" s="41">
        <v>670523</v>
      </c>
    </row>
    <row r="28" spans="1:10" x14ac:dyDescent="0.25">
      <c r="A28" s="24">
        <f t="shared" si="5"/>
        <v>24</v>
      </c>
      <c r="B28" s="6">
        <v>259</v>
      </c>
      <c r="C28" s="42">
        <f>J28-SUM($B$4:B27)</f>
        <v>647258</v>
      </c>
      <c r="D28" s="43">
        <f t="shared" si="0"/>
        <v>4.0014955396457054E-4</v>
      </c>
      <c r="E28" s="26">
        <f t="shared" si="1"/>
        <v>4.0006951014655051E-4</v>
      </c>
      <c r="F28" s="38">
        <v>3139</v>
      </c>
      <c r="G28" s="29">
        <f t="shared" si="2"/>
        <v>647258</v>
      </c>
      <c r="H28" s="28">
        <f t="shared" si="3"/>
        <v>4.8496889957327684E-3</v>
      </c>
      <c r="I28" s="28">
        <f t="shared" si="4"/>
        <v>4.8379577006215065E-3</v>
      </c>
      <c r="J28" s="41">
        <v>658114</v>
      </c>
    </row>
    <row r="29" spans="1:10" x14ac:dyDescent="0.25">
      <c r="A29" s="24">
        <f t="shared" si="5"/>
        <v>25</v>
      </c>
      <c r="B29" s="6">
        <v>284</v>
      </c>
      <c r="C29" s="42">
        <f>J29-SUM($B$4:B28)</f>
        <v>660525</v>
      </c>
      <c r="D29" s="43">
        <f t="shared" si="0"/>
        <v>4.2996101585859734E-4</v>
      </c>
      <c r="E29" s="26">
        <f t="shared" si="1"/>
        <v>4.2986860248809161E-4</v>
      </c>
      <c r="F29" s="38">
        <v>2981</v>
      </c>
      <c r="G29" s="29">
        <f t="shared" si="2"/>
        <v>660525</v>
      </c>
      <c r="H29" s="28">
        <f t="shared" si="3"/>
        <v>4.5130767192763334E-3</v>
      </c>
      <c r="I29" s="28">
        <f t="shared" si="4"/>
        <v>4.5029157172301855E-3</v>
      </c>
      <c r="J29" s="41">
        <v>671640</v>
      </c>
    </row>
    <row r="30" spans="1:10" x14ac:dyDescent="0.25">
      <c r="A30" s="45">
        <f t="shared" si="5"/>
        <v>26</v>
      </c>
      <c r="B30" s="46">
        <v>256</v>
      </c>
      <c r="C30" s="72">
        <f>J30-SUM($B$4:B29)</f>
        <v>648168</v>
      </c>
      <c r="D30" s="73">
        <f t="shared" si="0"/>
        <v>3.9495933153133137E-4</v>
      </c>
      <c r="E30" s="48">
        <f t="shared" si="1"/>
        <v>3.9488135049421864E-4</v>
      </c>
      <c r="F30" s="49">
        <v>2858</v>
      </c>
      <c r="G30" s="50">
        <f t="shared" si="2"/>
        <v>648168</v>
      </c>
      <c r="H30" s="51">
        <f t="shared" si="3"/>
        <v>4.4093506621740042E-3</v>
      </c>
      <c r="I30" s="51">
        <f t="shared" si="4"/>
        <v>4.3996508604565599E-3</v>
      </c>
      <c r="J30" s="74">
        <v>659567</v>
      </c>
    </row>
    <row r="31" spans="1:10" x14ac:dyDescent="0.25">
      <c r="A31" s="24">
        <f t="shared" si="5"/>
        <v>27</v>
      </c>
      <c r="B31" s="6">
        <v>254</v>
      </c>
      <c r="C31" s="42">
        <f>J31-SUM($B$4:B30)</f>
        <v>647912</v>
      </c>
      <c r="D31" s="43">
        <f t="shared" si="0"/>
        <v>3.9202854708664139E-4</v>
      </c>
      <c r="E31" s="26">
        <f t="shared" si="1"/>
        <v>3.9195171895518632E-4</v>
      </c>
      <c r="F31" s="38">
        <v>2644</v>
      </c>
      <c r="G31" s="29">
        <f t="shared" si="2"/>
        <v>647912</v>
      </c>
      <c r="H31" s="28">
        <f t="shared" si="3"/>
        <v>4.0808010964451967E-3</v>
      </c>
      <c r="I31" s="28">
        <f t="shared" si="4"/>
        <v>4.0724915823878603E-3</v>
      </c>
      <c r="J31" s="41">
        <v>659567</v>
      </c>
    </row>
    <row r="32" spans="1:10" x14ac:dyDescent="0.25">
      <c r="A32" s="24">
        <f t="shared" si="5"/>
        <v>28</v>
      </c>
      <c r="B32" s="6">
        <v>266</v>
      </c>
      <c r="C32" s="42">
        <f>J32-SUM($B$4:B31)</f>
        <v>647658</v>
      </c>
      <c r="D32" s="43">
        <f t="shared" si="0"/>
        <v>4.1071059108356572E-4</v>
      </c>
      <c r="E32" s="26">
        <f t="shared" si="1"/>
        <v>4.1062626680518866E-4</v>
      </c>
      <c r="F32" s="38">
        <v>2365</v>
      </c>
      <c r="G32" s="29">
        <f t="shared" si="2"/>
        <v>647658</v>
      </c>
      <c r="H32" s="28">
        <f t="shared" si="3"/>
        <v>3.6516186011753115E-3</v>
      </c>
      <c r="I32" s="28">
        <f t="shared" si="4"/>
        <v>3.64496359274737E-3</v>
      </c>
      <c r="J32" s="41">
        <v>659567</v>
      </c>
    </row>
    <row r="33" spans="1:10" x14ac:dyDescent="0.25">
      <c r="A33" s="24">
        <f t="shared" si="5"/>
        <v>29</v>
      </c>
      <c r="B33" s="6">
        <v>252</v>
      </c>
      <c r="C33" s="42">
        <f>J33-SUM($B$4:B32)</f>
        <v>647392</v>
      </c>
      <c r="D33" s="43">
        <f t="shared" si="0"/>
        <v>3.8925411497207256E-4</v>
      </c>
      <c r="E33" s="26">
        <f t="shared" si="1"/>
        <v>3.8917837033101787E-4</v>
      </c>
      <c r="F33" s="38">
        <v>2172</v>
      </c>
      <c r="G33" s="29">
        <f t="shared" si="2"/>
        <v>647392</v>
      </c>
      <c r="H33" s="28">
        <f t="shared" si="3"/>
        <v>3.35499975285453E-3</v>
      </c>
      <c r="I33" s="28">
        <f t="shared" si="4"/>
        <v>3.3493811663618503E-3</v>
      </c>
      <c r="J33" s="41">
        <v>659567</v>
      </c>
    </row>
    <row r="34" spans="1:10" x14ac:dyDescent="0.25">
      <c r="A34" s="24">
        <f t="shared" si="5"/>
        <v>30</v>
      </c>
      <c r="B34" s="6">
        <v>238</v>
      </c>
      <c r="C34" s="42">
        <f>J34-SUM($B$4:B33)</f>
        <v>647140</v>
      </c>
      <c r="D34" s="43">
        <f t="shared" si="0"/>
        <v>3.6777204314367834E-4</v>
      </c>
      <c r="E34" s="26">
        <f t="shared" si="1"/>
        <v>3.6770442743940213E-4</v>
      </c>
      <c r="F34" s="38">
        <v>1960</v>
      </c>
      <c r="G34" s="29">
        <f t="shared" si="2"/>
        <v>647140</v>
      </c>
      <c r="H34" s="28">
        <f t="shared" si="3"/>
        <v>3.0287109435361745E-3</v>
      </c>
      <c r="I34" s="28">
        <f t="shared" si="4"/>
        <v>3.0241313337036353E-3</v>
      </c>
      <c r="J34" s="41">
        <v>659567</v>
      </c>
    </row>
    <row r="35" spans="1:10" x14ac:dyDescent="0.25">
      <c r="A35" s="24">
        <f t="shared" si="5"/>
        <v>31</v>
      </c>
      <c r="B35" s="6">
        <v>205</v>
      </c>
      <c r="C35" s="42">
        <f>J35-SUM($B$4:B34)</f>
        <v>646902</v>
      </c>
      <c r="D35" s="43">
        <f t="shared" si="0"/>
        <v>3.1689498563924673E-4</v>
      </c>
      <c r="E35" s="26">
        <f t="shared" si="1"/>
        <v>3.1684478237786599E-4</v>
      </c>
      <c r="F35" s="38">
        <v>1788</v>
      </c>
      <c r="G35" s="29">
        <f t="shared" si="2"/>
        <v>646902</v>
      </c>
      <c r="H35" s="28">
        <f t="shared" si="3"/>
        <v>2.7639426064535277E-3</v>
      </c>
      <c r="I35" s="28">
        <f t="shared" si="4"/>
        <v>2.7601281885037882E-3</v>
      </c>
      <c r="J35" s="41">
        <v>659567</v>
      </c>
    </row>
    <row r="36" spans="1:10" x14ac:dyDescent="0.25">
      <c r="A36" s="24">
        <f t="shared" si="5"/>
        <v>32</v>
      </c>
      <c r="B36" s="6">
        <v>186</v>
      </c>
      <c r="C36" s="42">
        <f>J36-SUM($B$4:B35)</f>
        <v>646697</v>
      </c>
      <c r="D36" s="43">
        <f t="shared" si="0"/>
        <v>2.8761537474273117E-4</v>
      </c>
      <c r="E36" s="26">
        <f t="shared" si="1"/>
        <v>2.8757401938805488E-4</v>
      </c>
      <c r="F36" s="38">
        <v>1659</v>
      </c>
      <c r="G36" s="29">
        <f t="shared" si="2"/>
        <v>646697</v>
      </c>
      <c r="H36" s="28">
        <f t="shared" si="3"/>
        <v>2.565343584398876E-3</v>
      </c>
      <c r="I36" s="28">
        <f t="shared" si="4"/>
        <v>2.5620573057627757E-3</v>
      </c>
      <c r="J36" s="41">
        <v>659567</v>
      </c>
    </row>
    <row r="37" spans="1:10" x14ac:dyDescent="0.25">
      <c r="A37" s="24">
        <f t="shared" si="5"/>
        <v>33</v>
      </c>
      <c r="B37" s="6">
        <v>175</v>
      </c>
      <c r="C37" s="42">
        <f>J37-SUM($B$4:B36)</f>
        <v>646511</v>
      </c>
      <c r="D37" s="43">
        <f t="shared" si="0"/>
        <v>2.7068371613166674E-4</v>
      </c>
      <c r="E37" s="26">
        <f t="shared" si="1"/>
        <v>2.7064708625213326E-4</v>
      </c>
      <c r="F37" s="38">
        <v>1410</v>
      </c>
      <c r="G37" s="29">
        <f t="shared" si="2"/>
        <v>646511</v>
      </c>
      <c r="H37" s="28">
        <f t="shared" si="3"/>
        <v>2.1809373699751434E-3</v>
      </c>
      <c r="I37" s="28">
        <f t="shared" si="4"/>
        <v>2.1785617166448297E-3</v>
      </c>
      <c r="J37" s="41">
        <v>659567</v>
      </c>
    </row>
    <row r="38" spans="1:10" x14ac:dyDescent="0.25">
      <c r="A38" s="24">
        <f t="shared" si="5"/>
        <v>34</v>
      </c>
      <c r="B38" s="6">
        <v>133</v>
      </c>
      <c r="C38" s="42">
        <f>J38-SUM($B$4:B37)</f>
        <v>646336</v>
      </c>
      <c r="D38" s="43">
        <f t="shared" si="0"/>
        <v>2.0577532428953362E-4</v>
      </c>
      <c r="E38" s="26">
        <f t="shared" si="1"/>
        <v>2.0575415472557734E-4</v>
      </c>
      <c r="F38" s="38">
        <v>1212</v>
      </c>
      <c r="G38" s="29">
        <f t="shared" si="2"/>
        <v>646336</v>
      </c>
      <c r="H38" s="28">
        <f t="shared" si="3"/>
        <v>1.8751856619467274E-3</v>
      </c>
      <c r="I38" s="28">
        <f t="shared" si="4"/>
        <v>1.8734291482080309E-3</v>
      </c>
      <c r="J38" s="41">
        <v>659567</v>
      </c>
    </row>
    <row r="39" spans="1:10" x14ac:dyDescent="0.25">
      <c r="A39" s="24">
        <f t="shared" si="5"/>
        <v>35</v>
      </c>
      <c r="B39" s="6">
        <v>112</v>
      </c>
      <c r="C39" s="42">
        <f>J39-SUM($B$4:B38)</f>
        <v>646203</v>
      </c>
      <c r="D39" s="43">
        <f t="shared" si="0"/>
        <v>1.7332014862202745E-4</v>
      </c>
      <c r="E39" s="26">
        <f t="shared" si="1"/>
        <v>1.7330512998658433E-4</v>
      </c>
      <c r="F39" s="38">
        <v>993</v>
      </c>
      <c r="G39" s="29">
        <f t="shared" si="2"/>
        <v>646203</v>
      </c>
      <c r="H39" s="28">
        <f t="shared" si="3"/>
        <v>1.5366688176935111E-3</v>
      </c>
      <c r="I39" s="28">
        <f t="shared" si="4"/>
        <v>1.5354890486230467E-3</v>
      </c>
      <c r="J39" s="41">
        <v>659567</v>
      </c>
    </row>
    <row r="40" spans="1:10" x14ac:dyDescent="0.25">
      <c r="A40" s="24">
        <f t="shared" si="5"/>
        <v>36</v>
      </c>
      <c r="B40" s="6">
        <v>119</v>
      </c>
      <c r="C40" s="42">
        <f>J40-SUM($B$4:B39)</f>
        <v>646091</v>
      </c>
      <c r="D40" s="43">
        <f t="shared" si="0"/>
        <v>1.8418458080982401E-4</v>
      </c>
      <c r="E40" s="26">
        <f t="shared" si="1"/>
        <v>1.8416762039184372E-4</v>
      </c>
      <c r="F40" s="38">
        <v>959</v>
      </c>
      <c r="G40" s="29">
        <f t="shared" si="2"/>
        <v>646091</v>
      </c>
      <c r="H40" s="28">
        <f t="shared" si="3"/>
        <v>1.4843110335850524E-3</v>
      </c>
      <c r="I40" s="28">
        <f t="shared" si="4"/>
        <v>1.4832102609073567E-3</v>
      </c>
      <c r="J40" s="41">
        <v>659567</v>
      </c>
    </row>
    <row r="41" spans="1:10" x14ac:dyDescent="0.25">
      <c r="A41" s="24">
        <f t="shared" si="5"/>
        <v>37</v>
      </c>
      <c r="B41" s="6">
        <v>108</v>
      </c>
      <c r="C41" s="42">
        <f>J41-SUM($B$4:B40)</f>
        <v>645972</v>
      </c>
      <c r="D41" s="43">
        <f t="shared" si="0"/>
        <v>1.6718990916014936E-4</v>
      </c>
      <c r="E41" s="26">
        <f t="shared" si="1"/>
        <v>1.6717593409553176E-4</v>
      </c>
      <c r="F41" s="38">
        <v>904</v>
      </c>
      <c r="G41" s="29">
        <f t="shared" si="2"/>
        <v>645972</v>
      </c>
      <c r="H41" s="28">
        <f t="shared" si="3"/>
        <v>1.399441461859028E-3</v>
      </c>
      <c r="I41" s="28">
        <f t="shared" si="4"/>
        <v>1.3984629283566204E-3</v>
      </c>
      <c r="J41" s="41">
        <v>659567</v>
      </c>
    </row>
    <row r="42" spans="1:10" x14ac:dyDescent="0.25">
      <c r="A42" s="24">
        <f t="shared" si="5"/>
        <v>38</v>
      </c>
      <c r="B42" s="6">
        <v>100</v>
      </c>
      <c r="C42" s="42">
        <f>J42-SUM($B$4:B41)</f>
        <v>645864</v>
      </c>
      <c r="D42" s="43">
        <f t="shared" si="0"/>
        <v>1.5483135768520927E-4</v>
      </c>
      <c r="E42" s="26">
        <f t="shared" si="1"/>
        <v>1.5481937223840944E-4</v>
      </c>
      <c r="F42" s="38">
        <v>826</v>
      </c>
      <c r="G42" s="29">
        <f t="shared" si="2"/>
        <v>645864</v>
      </c>
      <c r="H42" s="28">
        <f t="shared" si="3"/>
        <v>1.2789070144798285E-3</v>
      </c>
      <c r="I42" s="28">
        <f t="shared" si="4"/>
        <v>1.2780897355158857E-3</v>
      </c>
      <c r="J42" s="41">
        <v>659567</v>
      </c>
    </row>
    <row r="43" spans="1:10" x14ac:dyDescent="0.25">
      <c r="A43" s="24">
        <f t="shared" si="5"/>
        <v>39</v>
      </c>
      <c r="B43" s="6">
        <v>83</v>
      </c>
      <c r="C43" s="42">
        <f>J43-SUM($B$4:B42)</f>
        <v>645764</v>
      </c>
      <c r="D43" s="43">
        <f t="shared" si="0"/>
        <v>1.2852992734187723E-4</v>
      </c>
      <c r="E43" s="26">
        <f t="shared" si="1"/>
        <v>1.2852166790155862E-4</v>
      </c>
      <c r="F43" s="38">
        <v>740</v>
      </c>
      <c r="G43" s="29">
        <f t="shared" si="2"/>
        <v>645764</v>
      </c>
      <c r="H43" s="28">
        <f t="shared" si="3"/>
        <v>1.1459294726866162E-3</v>
      </c>
      <c r="I43" s="28">
        <f t="shared" si="4"/>
        <v>1.1452732714885767E-3</v>
      </c>
      <c r="J43" s="41">
        <v>659567</v>
      </c>
    </row>
    <row r="44" spans="1:10" x14ac:dyDescent="0.25">
      <c r="A44" s="24">
        <f t="shared" si="5"/>
        <v>40</v>
      </c>
      <c r="B44" s="6">
        <v>93</v>
      </c>
      <c r="C44" s="42">
        <f>J44-SUM($B$4:B43)</f>
        <v>645681</v>
      </c>
      <c r="D44" s="43">
        <f t="shared" si="0"/>
        <v>1.4403397343270129E-4</v>
      </c>
      <c r="E44" s="26">
        <f t="shared" si="1"/>
        <v>1.4402360128692058E-4</v>
      </c>
      <c r="F44" s="38">
        <v>616</v>
      </c>
      <c r="G44" s="29">
        <f t="shared" si="2"/>
        <v>645681</v>
      </c>
      <c r="H44" s="28">
        <f t="shared" si="3"/>
        <v>9.5403147994133324E-4</v>
      </c>
      <c r="I44" s="28">
        <f t="shared" si="4"/>
        <v>9.5357660888962495E-4</v>
      </c>
      <c r="J44" s="41">
        <v>659567</v>
      </c>
    </row>
    <row r="45" spans="1:10" x14ac:dyDescent="0.25">
      <c r="A45" s="24">
        <f t="shared" si="5"/>
        <v>41</v>
      </c>
      <c r="B45" s="6">
        <v>73</v>
      </c>
      <c r="C45" s="42">
        <f>J45-SUM($B$4:B44)</f>
        <v>645588</v>
      </c>
      <c r="D45" s="43">
        <f t="shared" si="0"/>
        <v>1.13075212054747E-4</v>
      </c>
      <c r="E45" s="26">
        <f t="shared" si="1"/>
        <v>1.1306881941438098E-4</v>
      </c>
      <c r="F45" s="38">
        <v>550</v>
      </c>
      <c r="G45" s="29">
        <f t="shared" si="2"/>
        <v>645588</v>
      </c>
      <c r="H45" s="28">
        <f t="shared" si="3"/>
        <v>8.5193652917960061E-4</v>
      </c>
      <c r="I45" s="28">
        <f t="shared" si="4"/>
        <v>8.5157378577190523E-4</v>
      </c>
      <c r="J45" s="41">
        <v>659567</v>
      </c>
    </row>
    <row r="46" spans="1:10" x14ac:dyDescent="0.25">
      <c r="A46" s="24">
        <f t="shared" si="5"/>
        <v>42</v>
      </c>
      <c r="B46" s="6">
        <v>56</v>
      </c>
      <c r="C46" s="42">
        <f>J46-SUM($B$4:B45)</f>
        <v>645515</v>
      </c>
      <c r="D46" s="43">
        <f t="shared" si="0"/>
        <v>8.6752437975879724E-5</v>
      </c>
      <c r="E46" s="26">
        <f t="shared" si="1"/>
        <v>8.6748675146349665E-5</v>
      </c>
      <c r="F46" s="38">
        <v>500</v>
      </c>
      <c r="G46" s="29">
        <f t="shared" si="2"/>
        <v>645515</v>
      </c>
      <c r="H46" s="28">
        <f t="shared" si="3"/>
        <v>7.745753390703547E-4</v>
      </c>
      <c r="I46" s="28">
        <f t="shared" si="4"/>
        <v>7.7427547172733118E-4</v>
      </c>
      <c r="J46" s="41">
        <v>659567</v>
      </c>
    </row>
    <row r="47" spans="1:10" x14ac:dyDescent="0.25">
      <c r="A47" s="24">
        <f t="shared" si="5"/>
        <v>43</v>
      </c>
      <c r="B47" s="6">
        <v>58</v>
      </c>
      <c r="C47" s="42">
        <f>J47-SUM($B$4:B46)</f>
        <v>645459</v>
      </c>
      <c r="D47" s="43">
        <f t="shared" si="0"/>
        <v>8.9858534779126167E-5</v>
      </c>
      <c r="E47" s="26">
        <f t="shared" si="1"/>
        <v>8.9854497682373635E-5</v>
      </c>
      <c r="F47" s="38">
        <v>461</v>
      </c>
      <c r="G47" s="29">
        <f t="shared" si="2"/>
        <v>645459</v>
      </c>
      <c r="H47" s="28">
        <f t="shared" si="3"/>
        <v>7.1422042298581315E-4</v>
      </c>
      <c r="I47" s="28">
        <f t="shared" si="4"/>
        <v>7.139654586298832E-4</v>
      </c>
      <c r="J47" s="41">
        <v>659567</v>
      </c>
    </row>
    <row r="48" spans="1:10" x14ac:dyDescent="0.25">
      <c r="A48" s="24">
        <f t="shared" si="5"/>
        <v>44</v>
      </c>
      <c r="B48" s="6">
        <v>47</v>
      </c>
      <c r="C48" s="42">
        <f>J48-SUM($B$4:B47)</f>
        <v>645401</v>
      </c>
      <c r="D48" s="43">
        <f t="shared" si="0"/>
        <v>7.2822942635663714E-5</v>
      </c>
      <c r="E48" s="26">
        <f t="shared" si="1"/>
        <v>7.2820291141721446E-5</v>
      </c>
      <c r="F48" s="38">
        <v>390</v>
      </c>
      <c r="G48" s="29">
        <f t="shared" si="2"/>
        <v>645401</v>
      </c>
      <c r="H48" s="28">
        <f t="shared" si="3"/>
        <v>6.0427548144486914E-4</v>
      </c>
      <c r="I48" s="28">
        <f t="shared" si="4"/>
        <v>6.040929621620952E-4</v>
      </c>
      <c r="J48" s="41">
        <v>659567</v>
      </c>
    </row>
    <row r="49" spans="1:10" x14ac:dyDescent="0.25">
      <c r="A49" s="24">
        <f t="shared" si="5"/>
        <v>45</v>
      </c>
      <c r="B49" s="6">
        <v>28</v>
      </c>
      <c r="C49" s="42">
        <f>J49-SUM($B$4:B48)</f>
        <v>645354</v>
      </c>
      <c r="D49" s="43">
        <f t="shared" si="0"/>
        <v>4.3387040291065057E-5</v>
      </c>
      <c r="E49" s="26">
        <f t="shared" si="1"/>
        <v>4.3386099093850327E-5</v>
      </c>
      <c r="F49" s="38">
        <v>338</v>
      </c>
      <c r="G49" s="29">
        <f t="shared" si="2"/>
        <v>645354</v>
      </c>
      <c r="H49" s="28">
        <f t="shared" si="3"/>
        <v>5.237435577992854E-4</v>
      </c>
      <c r="I49" s="28">
        <f t="shared" si="4"/>
        <v>5.2360644004938639E-4</v>
      </c>
      <c r="J49" s="41">
        <v>659567</v>
      </c>
    </row>
    <row r="50" spans="1:10" x14ac:dyDescent="0.25">
      <c r="A50" s="24">
        <f t="shared" si="5"/>
        <v>46</v>
      </c>
      <c r="B50" s="6">
        <v>41</v>
      </c>
      <c r="C50" s="42">
        <f>J50-SUM($B$4:B49)</f>
        <v>645326</v>
      </c>
      <c r="D50" s="43">
        <f t="shared" si="0"/>
        <v>6.3533779826010424E-5</v>
      </c>
      <c r="E50" s="26">
        <f t="shared" si="1"/>
        <v>6.3531761619533078E-5</v>
      </c>
      <c r="F50" s="38">
        <v>290</v>
      </c>
      <c r="G50" s="29">
        <f t="shared" si="2"/>
        <v>645326</v>
      </c>
      <c r="H50" s="28">
        <f t="shared" si="3"/>
        <v>4.4938527194007371E-4</v>
      </c>
      <c r="I50" s="28">
        <f t="shared" si="4"/>
        <v>4.4928432106167431E-4</v>
      </c>
      <c r="J50" s="41">
        <v>659567</v>
      </c>
    </row>
    <row r="51" spans="1:10" x14ac:dyDescent="0.25">
      <c r="A51" s="24">
        <f t="shared" si="5"/>
        <v>47</v>
      </c>
      <c r="B51" s="6">
        <v>24</v>
      </c>
      <c r="C51" s="42">
        <f>J51-SUM($B$4:B50)</f>
        <v>645285</v>
      </c>
      <c r="D51" s="43">
        <f t="shared" si="0"/>
        <v>3.7192868267509708E-5</v>
      </c>
      <c r="E51" s="26">
        <f t="shared" si="1"/>
        <v>3.7192176625646799E-5</v>
      </c>
      <c r="F51" s="38">
        <v>213</v>
      </c>
      <c r="G51" s="29">
        <f t="shared" si="2"/>
        <v>645285</v>
      </c>
      <c r="H51" s="28">
        <f t="shared" si="3"/>
        <v>3.3008670587414863E-4</v>
      </c>
      <c r="I51" s="28">
        <f t="shared" si="4"/>
        <v>3.3003223624730109E-4</v>
      </c>
      <c r="J51" s="41">
        <v>659567</v>
      </c>
    </row>
    <row r="52" spans="1:10" x14ac:dyDescent="0.25">
      <c r="A52" s="24">
        <f t="shared" si="5"/>
        <v>48</v>
      </c>
      <c r="B52" s="6">
        <v>14</v>
      </c>
      <c r="C52" s="42">
        <f>J52-SUM($B$4:B51)</f>
        <v>645261</v>
      </c>
      <c r="D52" s="43">
        <f t="shared" si="0"/>
        <v>2.1696646783239651E-5</v>
      </c>
      <c r="E52" s="26">
        <f t="shared" si="1"/>
        <v>2.16964114135522E-5</v>
      </c>
      <c r="F52" s="38">
        <v>187</v>
      </c>
      <c r="G52" s="29">
        <f t="shared" si="2"/>
        <v>645261</v>
      </c>
      <c r="H52" s="28">
        <f t="shared" si="3"/>
        <v>2.8980521060470102E-4</v>
      </c>
      <c r="I52" s="28">
        <f t="shared" si="4"/>
        <v>2.8976322315874448E-4</v>
      </c>
      <c r="J52" s="41">
        <v>659567</v>
      </c>
    </row>
    <row r="53" spans="1:10" x14ac:dyDescent="0.25">
      <c r="A53" s="24">
        <f t="shared" si="5"/>
        <v>49</v>
      </c>
      <c r="B53" s="6">
        <v>9</v>
      </c>
      <c r="C53" s="42">
        <f>J53-SUM($B$4:B52)</f>
        <v>645247</v>
      </c>
      <c r="D53" s="43">
        <f t="shared" si="0"/>
        <v>1.3948146988672555E-5</v>
      </c>
      <c r="E53" s="26">
        <f t="shared" si="1"/>
        <v>1.3948049713948748E-5</v>
      </c>
      <c r="F53" s="38">
        <v>158</v>
      </c>
      <c r="G53" s="29">
        <f t="shared" si="2"/>
        <v>645247</v>
      </c>
      <c r="H53" s="28">
        <f t="shared" si="3"/>
        <v>2.4486746935669594E-4</v>
      </c>
      <c r="I53" s="28">
        <f t="shared" si="4"/>
        <v>2.4483749298804012E-4</v>
      </c>
      <c r="J53" s="41">
        <v>659567</v>
      </c>
    </row>
    <row r="54" spans="1:10" x14ac:dyDescent="0.25">
      <c r="A54" s="24">
        <f t="shared" si="5"/>
        <v>50</v>
      </c>
      <c r="B54" s="6">
        <v>6</v>
      </c>
      <c r="C54" s="42">
        <f>J54-SUM($B$4:B53)</f>
        <v>645238</v>
      </c>
      <c r="D54" s="43">
        <f t="shared" si="0"/>
        <v>9.2988943614604228E-6</v>
      </c>
      <c r="E54" s="26">
        <f t="shared" si="1"/>
        <v>9.2988511269432652E-6</v>
      </c>
      <c r="F54" s="38">
        <v>129</v>
      </c>
      <c r="G54" s="29">
        <f t="shared" si="2"/>
        <v>645238</v>
      </c>
      <c r="H54" s="28">
        <f t="shared" si="3"/>
        <v>1.9992622877139908E-4</v>
      </c>
      <c r="I54" s="28">
        <f t="shared" si="4"/>
        <v>1.9990624552051171E-4</v>
      </c>
      <c r="J54" s="41">
        <v>659567</v>
      </c>
    </row>
    <row r="55" spans="1:10" x14ac:dyDescent="0.25">
      <c r="A55" s="24">
        <f t="shared" si="5"/>
        <v>51</v>
      </c>
      <c r="B55" s="6">
        <v>11</v>
      </c>
      <c r="C55" s="42">
        <f>J55-SUM($B$4:B54)</f>
        <v>645232</v>
      </c>
      <c r="D55" s="43">
        <f t="shared" si="0"/>
        <v>1.7048131524784885E-5</v>
      </c>
      <c r="E55" s="26">
        <f t="shared" si="1"/>
        <v>1.7047986206629346E-5</v>
      </c>
      <c r="F55" s="38">
        <v>85</v>
      </c>
      <c r="G55" s="29">
        <f t="shared" si="2"/>
        <v>645232</v>
      </c>
      <c r="H55" s="28">
        <f t="shared" si="3"/>
        <v>1.3173556178242864E-4</v>
      </c>
      <c r="I55" s="28">
        <f t="shared" si="4"/>
        <v>1.3172688522481517E-4</v>
      </c>
      <c r="J55" s="41">
        <v>659567</v>
      </c>
    </row>
    <row r="56" spans="1:10" x14ac:dyDescent="0.25">
      <c r="A56" s="24">
        <f t="shared" si="5"/>
        <v>52</v>
      </c>
      <c r="B56" s="6">
        <v>9</v>
      </c>
      <c r="C56" s="42">
        <f>J56-SUM($B$4:B55)</f>
        <v>645221</v>
      </c>
      <c r="D56" s="43">
        <f t="shared" si="0"/>
        <v>1.3948709046977703E-5</v>
      </c>
      <c r="E56" s="26">
        <f t="shared" si="1"/>
        <v>1.3948611764414147E-5</v>
      </c>
      <c r="F56" s="38">
        <v>79</v>
      </c>
      <c r="G56" s="29">
        <f t="shared" si="2"/>
        <v>645221</v>
      </c>
      <c r="H56" s="28">
        <f t="shared" si="3"/>
        <v>1.2243866830124873E-4</v>
      </c>
      <c r="I56" s="28">
        <f t="shared" si="4"/>
        <v>1.2243117314634941E-4</v>
      </c>
      <c r="J56" s="41">
        <v>659567</v>
      </c>
    </row>
    <row r="57" spans="1:10" x14ac:dyDescent="0.25">
      <c r="A57" s="24">
        <f t="shared" si="5"/>
        <v>53</v>
      </c>
      <c r="B57" s="6">
        <v>2</v>
      </c>
      <c r="C57" s="42">
        <f>J57-SUM($B$4:B56)</f>
        <v>645212</v>
      </c>
      <c r="D57" s="43">
        <f t="shared" si="0"/>
        <v>3.0997563591501706E-6</v>
      </c>
      <c r="E57" s="26">
        <f t="shared" si="1"/>
        <v>3.0997515549128734E-6</v>
      </c>
      <c r="F57" s="38">
        <v>69</v>
      </c>
      <c r="G57" s="29">
        <f t="shared" si="2"/>
        <v>645212</v>
      </c>
      <c r="H57" s="28">
        <f t="shared" si="3"/>
        <v>1.069415943906809E-4</v>
      </c>
      <c r="I57" s="28">
        <f t="shared" si="4"/>
        <v>1.0693587644411865E-4</v>
      </c>
      <c r="J57" s="41">
        <v>659567</v>
      </c>
    </row>
    <row r="58" spans="1:10" x14ac:dyDescent="0.25">
      <c r="A58" s="24">
        <f t="shared" si="5"/>
        <v>54</v>
      </c>
      <c r="B58" s="6">
        <v>6</v>
      </c>
      <c r="C58" s="42">
        <f>J58-SUM($B$4:B57)</f>
        <v>645210</v>
      </c>
      <c r="D58" s="43">
        <f t="shared" si="0"/>
        <v>9.2992979030083227E-6</v>
      </c>
      <c r="E58" s="26">
        <f t="shared" si="1"/>
        <v>9.2992546647386211E-6</v>
      </c>
      <c r="F58" s="38">
        <v>54</v>
      </c>
      <c r="G58" s="29">
        <f t="shared" si="2"/>
        <v>645210</v>
      </c>
      <c r="H58" s="28">
        <f t="shared" si="3"/>
        <v>8.3693681127074908E-5</v>
      </c>
      <c r="I58" s="28">
        <f t="shared" si="4"/>
        <v>8.3690178957499325E-5</v>
      </c>
      <c r="J58" s="41">
        <v>659567</v>
      </c>
    </row>
    <row r="59" spans="1:10" x14ac:dyDescent="0.25">
      <c r="A59" s="24">
        <f t="shared" si="5"/>
        <v>55</v>
      </c>
      <c r="B59" s="6">
        <v>4</v>
      </c>
      <c r="C59" s="42">
        <f>J59-SUM($B$4:B58)</f>
        <v>645204</v>
      </c>
      <c r="D59" s="43">
        <f t="shared" si="0"/>
        <v>6.199589587169329E-6</v>
      </c>
      <c r="E59" s="26">
        <f t="shared" si="1"/>
        <v>6.1995703697733744E-6</v>
      </c>
      <c r="F59" s="38">
        <v>43</v>
      </c>
      <c r="G59" s="29">
        <f t="shared" si="2"/>
        <v>645204</v>
      </c>
      <c r="H59" s="28">
        <f t="shared" si="3"/>
        <v>6.6645588062070295E-5</v>
      </c>
      <c r="I59" s="28">
        <f t="shared" si="4"/>
        <v>6.6643367318867589E-5</v>
      </c>
      <c r="J59" s="41">
        <v>659567</v>
      </c>
    </row>
    <row r="60" spans="1:10" x14ac:dyDescent="0.25">
      <c r="A60" s="24">
        <f t="shared" si="5"/>
        <v>56</v>
      </c>
      <c r="B60" s="6">
        <v>7</v>
      </c>
      <c r="C60" s="42">
        <f>J60-SUM($B$4:B59)</f>
        <v>645200</v>
      </c>
      <c r="D60" s="43">
        <f t="shared" si="0"/>
        <v>1.0849349039057657E-5</v>
      </c>
      <c r="E60" s="26">
        <f t="shared" si="1"/>
        <v>1.0849290185189634E-5</v>
      </c>
      <c r="F60" s="38">
        <v>28</v>
      </c>
      <c r="G60" s="29">
        <f t="shared" si="2"/>
        <v>645200</v>
      </c>
      <c r="H60" s="28">
        <f t="shared" si="3"/>
        <v>4.3397396156230627E-5</v>
      </c>
      <c r="I60" s="28">
        <f t="shared" si="4"/>
        <v>4.3396454509666559E-5</v>
      </c>
      <c r="J60" s="41">
        <v>659567</v>
      </c>
    </row>
    <row r="61" spans="1:10" x14ac:dyDescent="0.25">
      <c r="A61" s="24">
        <f t="shared" si="5"/>
        <v>57</v>
      </c>
      <c r="B61" s="6">
        <v>1</v>
      </c>
      <c r="C61" s="42">
        <f>J61-SUM($B$4:B60)</f>
        <v>645193</v>
      </c>
      <c r="D61" s="43">
        <f t="shared" si="0"/>
        <v>1.5499238212441859E-6</v>
      </c>
      <c r="E61" s="26">
        <f t="shared" si="1"/>
        <v>1.549922620113191E-6</v>
      </c>
      <c r="F61" s="38">
        <v>19</v>
      </c>
      <c r="G61" s="29">
        <f t="shared" si="2"/>
        <v>645193</v>
      </c>
      <c r="H61" s="28">
        <f t="shared" si="3"/>
        <v>2.9448552603639531E-5</v>
      </c>
      <c r="I61" s="28">
        <f t="shared" si="4"/>
        <v>2.9448119001398786E-5</v>
      </c>
      <c r="J61" s="41">
        <v>659567</v>
      </c>
    </row>
    <row r="62" spans="1:10" x14ac:dyDescent="0.25">
      <c r="A62" s="24">
        <f t="shared" si="5"/>
        <v>58</v>
      </c>
      <c r="B62" s="6">
        <v>0</v>
      </c>
      <c r="C62" s="42">
        <f>J62-SUM($B$4:B61)</f>
        <v>645192</v>
      </c>
      <c r="D62" s="43">
        <f t="shared" si="0"/>
        <v>0</v>
      </c>
      <c r="E62" s="26">
        <f t="shared" si="1"/>
        <v>0</v>
      </c>
      <c r="F62" s="38">
        <v>30</v>
      </c>
      <c r="G62" s="29">
        <f t="shared" si="2"/>
        <v>645192</v>
      </c>
      <c r="H62" s="28">
        <f t="shared" si="3"/>
        <v>4.6497786705352825E-5</v>
      </c>
      <c r="I62" s="28">
        <f t="shared" si="4"/>
        <v>4.6496705708400561E-5</v>
      </c>
      <c r="J62" s="41">
        <v>659567</v>
      </c>
    </row>
    <row r="63" spans="1:10" x14ac:dyDescent="0.25">
      <c r="A63" s="24">
        <f t="shared" si="5"/>
        <v>59</v>
      </c>
      <c r="B63" s="6">
        <v>2</v>
      </c>
      <c r="C63" s="42">
        <f>J63-SUM($B$4:B62)</f>
        <v>645192</v>
      </c>
      <c r="D63" s="43">
        <f t="shared" si="0"/>
        <v>3.0998524470235218E-6</v>
      </c>
      <c r="E63" s="26">
        <f t="shared" si="1"/>
        <v>3.0998476424883714E-6</v>
      </c>
      <c r="F63" s="38">
        <v>24</v>
      </c>
      <c r="G63" s="29">
        <f t="shared" si="2"/>
        <v>645192</v>
      </c>
      <c r="H63" s="28">
        <f t="shared" si="3"/>
        <v>3.7198229364282259E-5</v>
      </c>
      <c r="I63" s="28">
        <f t="shared" si="4"/>
        <v>3.7197537523015976E-5</v>
      </c>
      <c r="J63" s="41">
        <v>659567</v>
      </c>
    </row>
    <row r="64" spans="1:10" x14ac:dyDescent="0.25">
      <c r="A64" s="24">
        <f t="shared" si="5"/>
        <v>60</v>
      </c>
      <c r="B64" s="6">
        <v>0</v>
      </c>
      <c r="C64" s="42">
        <f>J64-SUM($B$4:B63)</f>
        <v>645190</v>
      </c>
      <c r="D64" s="43">
        <f t="shared" si="0"/>
        <v>0</v>
      </c>
      <c r="E64" s="26">
        <f t="shared" si="1"/>
        <v>0</v>
      </c>
      <c r="F64" s="38">
        <v>24</v>
      </c>
      <c r="G64" s="29">
        <f t="shared" si="2"/>
        <v>645190</v>
      </c>
      <c r="H64" s="28">
        <f t="shared" si="3"/>
        <v>3.719834467366202E-5</v>
      </c>
      <c r="I64" s="28">
        <f t="shared" si="4"/>
        <v>3.7197652828106538E-5</v>
      </c>
      <c r="J64" s="41">
        <v>659567</v>
      </c>
    </row>
    <row r="65" spans="1:10" x14ac:dyDescent="0.25">
      <c r="A65" s="24">
        <f t="shared" si="5"/>
        <v>61</v>
      </c>
      <c r="B65" s="6">
        <v>0</v>
      </c>
      <c r="C65" s="42">
        <f>J65-SUM($B$4:B64)</f>
        <v>645190</v>
      </c>
      <c r="D65" s="43">
        <f t="shared" si="0"/>
        <v>0</v>
      </c>
      <c r="E65" s="26">
        <f t="shared" si="1"/>
        <v>0</v>
      </c>
      <c r="F65" s="38">
        <v>9</v>
      </c>
      <c r="G65" s="29">
        <f t="shared" si="2"/>
        <v>645190</v>
      </c>
      <c r="H65" s="28">
        <f t="shared" si="3"/>
        <v>1.3949379252623258E-5</v>
      </c>
      <c r="I65" s="28">
        <f t="shared" si="4"/>
        <v>1.3949281960711073E-5</v>
      </c>
      <c r="J65" s="41">
        <v>659567</v>
      </c>
    </row>
    <row r="66" spans="1:10" x14ac:dyDescent="0.25">
      <c r="A66" s="24">
        <f t="shared" si="5"/>
        <v>62</v>
      </c>
      <c r="B66" s="6">
        <v>2</v>
      </c>
      <c r="C66" s="42">
        <f>J66-SUM($B$4:B65)</f>
        <v>645190</v>
      </c>
      <c r="D66" s="43">
        <f t="shared" si="0"/>
        <v>3.0998620561385019E-6</v>
      </c>
      <c r="E66" s="26">
        <f t="shared" si="1"/>
        <v>3.0998572515735656E-6</v>
      </c>
      <c r="F66" s="38">
        <v>9</v>
      </c>
      <c r="G66" s="29">
        <f t="shared" si="2"/>
        <v>645190</v>
      </c>
      <c r="H66" s="28">
        <f t="shared" si="3"/>
        <v>1.3949379252623258E-5</v>
      </c>
      <c r="I66" s="28">
        <f t="shared" si="4"/>
        <v>1.3949281960711073E-5</v>
      </c>
      <c r="J66" s="41">
        <v>659567</v>
      </c>
    </row>
    <row r="67" spans="1:10" x14ac:dyDescent="0.25">
      <c r="A67" s="24">
        <f t="shared" si="5"/>
        <v>63</v>
      </c>
      <c r="B67" s="6">
        <v>0</v>
      </c>
      <c r="C67" s="42">
        <f>J67-SUM($B$4:B66)</f>
        <v>645188</v>
      </c>
      <c r="D67" s="43">
        <f t="shared" si="0"/>
        <v>0</v>
      </c>
      <c r="E67" s="26">
        <f t="shared" si="1"/>
        <v>0</v>
      </c>
      <c r="F67" s="38">
        <v>6</v>
      </c>
      <c r="G67" s="29">
        <f t="shared" si="2"/>
        <v>645188</v>
      </c>
      <c r="H67" s="28">
        <f t="shared" si="3"/>
        <v>9.2996149959391674E-6</v>
      </c>
      <c r="I67" s="28">
        <f t="shared" si="4"/>
        <v>9.2995717547206951E-6</v>
      </c>
      <c r="J67" s="41">
        <v>659567</v>
      </c>
    </row>
    <row r="68" spans="1:10" x14ac:dyDescent="0.25">
      <c r="A68" s="24">
        <f t="shared" si="5"/>
        <v>64</v>
      </c>
      <c r="B68" s="6">
        <v>0</v>
      </c>
      <c r="C68" s="42">
        <f>J68-SUM($B$4:B67)</f>
        <v>645188</v>
      </c>
      <c r="D68" s="43">
        <f t="shared" si="0"/>
        <v>0</v>
      </c>
      <c r="E68" s="26">
        <f t="shared" si="1"/>
        <v>0</v>
      </c>
      <c r="F68" s="38">
        <v>9</v>
      </c>
      <c r="G68" s="29">
        <f t="shared" si="2"/>
        <v>645188</v>
      </c>
      <c r="H68" s="28">
        <f t="shared" si="3"/>
        <v>1.3949422493908753E-5</v>
      </c>
      <c r="I68" s="28">
        <f t="shared" si="4"/>
        <v>1.3949325201393383E-5</v>
      </c>
      <c r="J68" s="41">
        <v>659567</v>
      </c>
    </row>
    <row r="69" spans="1:10" x14ac:dyDescent="0.25">
      <c r="A69" s="24">
        <f t="shared" si="5"/>
        <v>65</v>
      </c>
      <c r="B69" s="6">
        <v>0</v>
      </c>
      <c r="C69" s="42">
        <f>J69-SUM($B$4:B68)</f>
        <v>645188</v>
      </c>
      <c r="D69" s="43">
        <f t="shared" ref="D69:D95" si="6">B69/C69</f>
        <v>0</v>
      </c>
      <c r="E69" s="26">
        <f t="shared" ref="E69:E95" si="7">(2*D69)/(2+D69)</f>
        <v>0</v>
      </c>
      <c r="F69" s="38">
        <v>2</v>
      </c>
      <c r="G69" s="29">
        <f t="shared" ref="G69:G96" si="8">C69</f>
        <v>645188</v>
      </c>
      <c r="H69" s="28">
        <f t="shared" ref="H69:H95" si="9">F69/G69</f>
        <v>3.0998716653130559E-6</v>
      </c>
      <c r="I69" s="28">
        <f t="shared" ref="I69:I95" si="10">(2*H69)/(2+H69)</f>
        <v>3.0998668607183325E-6</v>
      </c>
      <c r="J69" s="41">
        <v>659567</v>
      </c>
    </row>
    <row r="70" spans="1:10" x14ac:dyDescent="0.25">
      <c r="A70" s="24">
        <f t="shared" ref="A70:A96" si="11">A69+1</f>
        <v>66</v>
      </c>
      <c r="B70" s="6">
        <v>0</v>
      </c>
      <c r="C70" s="42">
        <f>J70-SUM($B$4:B69)</f>
        <v>645188</v>
      </c>
      <c r="D70" s="43">
        <f t="shared" si="6"/>
        <v>0</v>
      </c>
      <c r="E70" s="26">
        <f t="shared" si="7"/>
        <v>0</v>
      </c>
      <c r="F70" s="38">
        <v>3</v>
      </c>
      <c r="G70" s="29">
        <f t="shared" si="8"/>
        <v>645188</v>
      </c>
      <c r="H70" s="28">
        <f t="shared" si="9"/>
        <v>4.6498074979695837E-6</v>
      </c>
      <c r="I70" s="28">
        <f t="shared" si="10"/>
        <v>4.6497966876398321E-6</v>
      </c>
      <c r="J70" s="41">
        <v>659567</v>
      </c>
    </row>
    <row r="71" spans="1:10" x14ac:dyDescent="0.25">
      <c r="A71" s="24">
        <f t="shared" si="11"/>
        <v>67</v>
      </c>
      <c r="B71" s="6">
        <v>0</v>
      </c>
      <c r="C71" s="42">
        <f>J71-SUM($B$4:B70)</f>
        <v>645188</v>
      </c>
      <c r="D71" s="43">
        <f t="shared" si="6"/>
        <v>0</v>
      </c>
      <c r="E71" s="26">
        <f t="shared" si="7"/>
        <v>0</v>
      </c>
      <c r="F71" s="38">
        <v>3</v>
      </c>
      <c r="G71" s="29">
        <f>C71</f>
        <v>645188</v>
      </c>
      <c r="H71" s="28">
        <f t="shared" si="9"/>
        <v>4.6498074979695837E-6</v>
      </c>
      <c r="I71" s="28">
        <f t="shared" si="10"/>
        <v>4.6497966876398321E-6</v>
      </c>
      <c r="J71" s="41">
        <v>659567</v>
      </c>
    </row>
    <row r="72" spans="1:10" x14ac:dyDescent="0.25">
      <c r="A72" s="24">
        <f t="shared" si="11"/>
        <v>68</v>
      </c>
      <c r="B72" s="6">
        <v>2</v>
      </c>
      <c r="C72" s="42">
        <f>J72-SUM($B$4:B71)</f>
        <v>645188</v>
      </c>
      <c r="D72" s="43">
        <f t="shared" si="6"/>
        <v>3.0998716653130559E-6</v>
      </c>
      <c r="E72" s="26">
        <f t="shared" si="7"/>
        <v>3.0998668607183325E-6</v>
      </c>
      <c r="F72" s="38">
        <v>3</v>
      </c>
      <c r="G72" s="29">
        <f t="shared" si="8"/>
        <v>645188</v>
      </c>
      <c r="H72" s="28">
        <f t="shared" si="9"/>
        <v>4.6498074979695837E-6</v>
      </c>
      <c r="I72" s="28">
        <f t="shared" si="10"/>
        <v>4.6497966876398321E-6</v>
      </c>
      <c r="J72" s="41">
        <v>659567</v>
      </c>
    </row>
    <row r="73" spans="1:10" x14ac:dyDescent="0.25">
      <c r="A73" s="24">
        <f t="shared" si="11"/>
        <v>69</v>
      </c>
      <c r="B73" s="6">
        <v>2</v>
      </c>
      <c r="C73" s="42">
        <f>J73-SUM($B$4:B72)</f>
        <v>645186</v>
      </c>
      <c r="D73" s="43">
        <f t="shared" si="6"/>
        <v>3.0998812745471848E-6</v>
      </c>
      <c r="E73" s="26">
        <f t="shared" si="7"/>
        <v>3.0998764699226737E-6</v>
      </c>
      <c r="F73" s="38">
        <v>4</v>
      </c>
      <c r="G73" s="29">
        <f t="shared" si="8"/>
        <v>645186</v>
      </c>
      <c r="H73" s="28">
        <f t="shared" si="9"/>
        <v>6.1997625490943695E-6</v>
      </c>
      <c r="I73" s="28">
        <f t="shared" si="10"/>
        <v>6.1997433306261119E-6</v>
      </c>
      <c r="J73" s="41">
        <v>659567</v>
      </c>
    </row>
    <row r="74" spans="1:10" x14ac:dyDescent="0.25">
      <c r="A74" s="24">
        <f t="shared" si="11"/>
        <v>70</v>
      </c>
      <c r="B74" s="6">
        <v>0</v>
      </c>
      <c r="C74" s="42">
        <f>J74-SUM($B$4:B73)</f>
        <v>645184</v>
      </c>
      <c r="D74" s="43">
        <f t="shared" si="6"/>
        <v>0</v>
      </c>
      <c r="E74" s="26">
        <f t="shared" si="7"/>
        <v>0</v>
      </c>
      <c r="F74" s="38">
        <v>0</v>
      </c>
      <c r="G74" s="29">
        <f t="shared" si="8"/>
        <v>645184</v>
      </c>
      <c r="H74" s="28">
        <f t="shared" si="9"/>
        <v>0</v>
      </c>
      <c r="I74" s="28">
        <f t="shared" si="10"/>
        <v>0</v>
      </c>
      <c r="J74" s="41">
        <v>659567</v>
      </c>
    </row>
    <row r="75" spans="1:10" x14ac:dyDescent="0.25">
      <c r="A75" s="24">
        <f t="shared" si="11"/>
        <v>71</v>
      </c>
      <c r="B75" s="6">
        <v>0</v>
      </c>
      <c r="C75" s="42">
        <f>J75-SUM($B$4:B74)</f>
        <v>645184</v>
      </c>
      <c r="D75" s="43">
        <f t="shared" si="6"/>
        <v>0</v>
      </c>
      <c r="E75" s="26">
        <f t="shared" si="7"/>
        <v>0</v>
      </c>
      <c r="F75" s="38">
        <v>0</v>
      </c>
      <c r="G75" s="29">
        <f t="shared" si="8"/>
        <v>645184</v>
      </c>
      <c r="H75" s="28">
        <f t="shared" si="9"/>
        <v>0</v>
      </c>
      <c r="I75" s="28">
        <f t="shared" si="10"/>
        <v>0</v>
      </c>
      <c r="J75" s="41">
        <v>659567</v>
      </c>
    </row>
    <row r="76" spans="1:10" x14ac:dyDescent="0.25">
      <c r="A76" s="24">
        <f t="shared" si="11"/>
        <v>72</v>
      </c>
      <c r="B76" s="6">
        <v>0</v>
      </c>
      <c r="C76" s="42">
        <f>J76-SUM($B$4:B75)</f>
        <v>645184</v>
      </c>
      <c r="D76" s="43">
        <f t="shared" si="6"/>
        <v>0</v>
      </c>
      <c r="E76" s="26">
        <f t="shared" si="7"/>
        <v>0</v>
      </c>
      <c r="F76" s="38">
        <v>0</v>
      </c>
      <c r="G76" s="29">
        <f t="shared" si="8"/>
        <v>645184</v>
      </c>
      <c r="H76" s="28">
        <f t="shared" si="9"/>
        <v>0</v>
      </c>
      <c r="I76" s="28">
        <f t="shared" si="10"/>
        <v>0</v>
      </c>
      <c r="J76" s="41">
        <v>659567</v>
      </c>
    </row>
    <row r="77" spans="1:10" x14ac:dyDescent="0.25">
      <c r="A77" s="24">
        <f t="shared" si="11"/>
        <v>73</v>
      </c>
      <c r="B77" s="6">
        <v>0</v>
      </c>
      <c r="C77" s="42">
        <f>J77-SUM($B$4:B76)</f>
        <v>645184</v>
      </c>
      <c r="D77" s="43">
        <f t="shared" si="6"/>
        <v>0</v>
      </c>
      <c r="E77" s="26">
        <f t="shared" si="7"/>
        <v>0</v>
      </c>
      <c r="F77" s="38">
        <v>0</v>
      </c>
      <c r="G77" s="29">
        <f t="shared" si="8"/>
        <v>645184</v>
      </c>
      <c r="H77" s="28">
        <f t="shared" si="9"/>
        <v>0</v>
      </c>
      <c r="I77" s="28">
        <f t="shared" si="10"/>
        <v>0</v>
      </c>
      <c r="J77" s="41">
        <v>659567</v>
      </c>
    </row>
    <row r="78" spans="1:10" x14ac:dyDescent="0.25">
      <c r="A78" s="24">
        <f t="shared" si="11"/>
        <v>74</v>
      </c>
      <c r="B78" s="6">
        <v>0</v>
      </c>
      <c r="C78" s="42">
        <f>J78-SUM($B$4:B77)</f>
        <v>645184</v>
      </c>
      <c r="D78" s="43">
        <f t="shared" si="6"/>
        <v>0</v>
      </c>
      <c r="E78" s="26">
        <f t="shared" si="7"/>
        <v>0</v>
      </c>
      <c r="F78" s="38">
        <v>0</v>
      </c>
      <c r="G78" s="29">
        <f t="shared" si="8"/>
        <v>645184</v>
      </c>
      <c r="H78" s="28">
        <f t="shared" si="9"/>
        <v>0</v>
      </c>
      <c r="I78" s="28">
        <f t="shared" si="10"/>
        <v>0</v>
      </c>
      <c r="J78" s="41">
        <v>659567</v>
      </c>
    </row>
    <row r="79" spans="1:10" x14ac:dyDescent="0.25">
      <c r="A79" s="24">
        <f t="shared" si="11"/>
        <v>75</v>
      </c>
      <c r="B79" s="6">
        <v>0</v>
      </c>
      <c r="C79" s="42">
        <f>J79-SUM($B$4:B78)</f>
        <v>645184</v>
      </c>
      <c r="D79" s="43">
        <f t="shared" si="6"/>
        <v>0</v>
      </c>
      <c r="E79" s="26">
        <f t="shared" si="7"/>
        <v>0</v>
      </c>
      <c r="F79" s="38">
        <v>0</v>
      </c>
      <c r="G79" s="29">
        <f t="shared" si="8"/>
        <v>645184</v>
      </c>
      <c r="H79" s="28">
        <f t="shared" si="9"/>
        <v>0</v>
      </c>
      <c r="I79" s="28">
        <f t="shared" si="10"/>
        <v>0</v>
      </c>
      <c r="J79" s="41">
        <v>659567</v>
      </c>
    </row>
    <row r="80" spans="1:10" x14ac:dyDescent="0.25">
      <c r="A80" s="24">
        <f t="shared" si="11"/>
        <v>76</v>
      </c>
      <c r="B80" s="6">
        <v>0</v>
      </c>
      <c r="C80" s="42">
        <f>J80-SUM($B$4:B79)</f>
        <v>645184</v>
      </c>
      <c r="D80" s="43">
        <f t="shared" si="6"/>
        <v>0</v>
      </c>
      <c r="E80" s="26">
        <f t="shared" si="7"/>
        <v>0</v>
      </c>
      <c r="F80" s="38">
        <v>0</v>
      </c>
      <c r="G80" s="29">
        <f t="shared" si="8"/>
        <v>645184</v>
      </c>
      <c r="H80" s="28">
        <f t="shared" si="9"/>
        <v>0</v>
      </c>
      <c r="I80" s="28">
        <f t="shared" si="10"/>
        <v>0</v>
      </c>
      <c r="J80" s="41">
        <v>659567</v>
      </c>
    </row>
    <row r="81" spans="1:10" x14ac:dyDescent="0.25">
      <c r="A81" s="24">
        <f t="shared" si="11"/>
        <v>77</v>
      </c>
      <c r="B81" s="6">
        <v>0</v>
      </c>
      <c r="C81" s="42">
        <f>J81-SUM($B$4:B80)</f>
        <v>645184</v>
      </c>
      <c r="D81" s="43">
        <f t="shared" si="6"/>
        <v>0</v>
      </c>
      <c r="E81" s="26">
        <f t="shared" si="7"/>
        <v>0</v>
      </c>
      <c r="F81" s="38">
        <v>0</v>
      </c>
      <c r="G81" s="29">
        <f t="shared" si="8"/>
        <v>645184</v>
      </c>
      <c r="H81" s="28">
        <f t="shared" si="9"/>
        <v>0</v>
      </c>
      <c r="I81" s="28">
        <f t="shared" si="10"/>
        <v>0</v>
      </c>
      <c r="J81" s="41">
        <v>659567</v>
      </c>
    </row>
    <row r="82" spans="1:10" x14ac:dyDescent="0.25">
      <c r="A82" s="24">
        <f t="shared" si="11"/>
        <v>78</v>
      </c>
      <c r="B82" s="6">
        <v>0</v>
      </c>
      <c r="C82" s="42">
        <f>J82-SUM($B$4:B81)</f>
        <v>645184</v>
      </c>
      <c r="D82" s="43">
        <f t="shared" si="6"/>
        <v>0</v>
      </c>
      <c r="E82" s="26">
        <f t="shared" si="7"/>
        <v>0</v>
      </c>
      <c r="F82" s="38">
        <v>0</v>
      </c>
      <c r="G82" s="29">
        <f t="shared" si="8"/>
        <v>645184</v>
      </c>
      <c r="H82" s="28">
        <f t="shared" si="9"/>
        <v>0</v>
      </c>
      <c r="I82" s="28">
        <f t="shared" si="10"/>
        <v>0</v>
      </c>
      <c r="J82" s="41">
        <v>659567</v>
      </c>
    </row>
    <row r="83" spans="1:10" x14ac:dyDescent="0.25">
      <c r="A83" s="24">
        <f t="shared" si="11"/>
        <v>79</v>
      </c>
      <c r="B83" s="6">
        <v>0</v>
      </c>
      <c r="C83" s="42">
        <f>J83-SUM($B$4:B82)</f>
        <v>645184</v>
      </c>
      <c r="D83" s="43">
        <f t="shared" si="6"/>
        <v>0</v>
      </c>
      <c r="E83" s="26">
        <f t="shared" si="7"/>
        <v>0</v>
      </c>
      <c r="F83" s="38">
        <v>0</v>
      </c>
      <c r="G83" s="29">
        <f t="shared" si="8"/>
        <v>645184</v>
      </c>
      <c r="H83" s="28">
        <f t="shared" si="9"/>
        <v>0</v>
      </c>
      <c r="I83" s="28">
        <f t="shared" si="10"/>
        <v>0</v>
      </c>
      <c r="J83" s="41">
        <v>659567</v>
      </c>
    </row>
    <row r="84" spans="1:10" x14ac:dyDescent="0.25">
      <c r="A84" s="24">
        <f t="shared" si="11"/>
        <v>80</v>
      </c>
      <c r="B84" s="6">
        <v>0</v>
      </c>
      <c r="C84" s="42">
        <f>J84-SUM($B$4:B83)</f>
        <v>645184</v>
      </c>
      <c r="D84" s="43">
        <f t="shared" si="6"/>
        <v>0</v>
      </c>
      <c r="E84" s="26">
        <f t="shared" si="7"/>
        <v>0</v>
      </c>
      <c r="F84" s="38">
        <v>0</v>
      </c>
      <c r="G84" s="29">
        <f t="shared" si="8"/>
        <v>645184</v>
      </c>
      <c r="H84" s="28">
        <f t="shared" si="9"/>
        <v>0</v>
      </c>
      <c r="I84" s="28">
        <f t="shared" si="10"/>
        <v>0</v>
      </c>
      <c r="J84" s="41">
        <v>659567</v>
      </c>
    </row>
    <row r="85" spans="1:10" x14ac:dyDescent="0.25">
      <c r="A85" s="24">
        <f t="shared" si="11"/>
        <v>81</v>
      </c>
      <c r="B85" s="6">
        <v>0</v>
      </c>
      <c r="C85" s="42">
        <f>J85-SUM($B$4:B84)</f>
        <v>645184</v>
      </c>
      <c r="D85" s="43">
        <f t="shared" si="6"/>
        <v>0</v>
      </c>
      <c r="E85" s="26">
        <f t="shared" si="7"/>
        <v>0</v>
      </c>
      <c r="F85" s="38">
        <v>0</v>
      </c>
      <c r="G85" s="29">
        <f t="shared" si="8"/>
        <v>645184</v>
      </c>
      <c r="H85" s="28">
        <f t="shared" si="9"/>
        <v>0</v>
      </c>
      <c r="I85" s="28">
        <f t="shared" si="10"/>
        <v>0</v>
      </c>
      <c r="J85" s="41">
        <v>659567</v>
      </c>
    </row>
    <row r="86" spans="1:10" x14ac:dyDescent="0.25">
      <c r="A86" s="24">
        <f t="shared" si="11"/>
        <v>82</v>
      </c>
      <c r="B86" s="6">
        <v>0</v>
      </c>
      <c r="C86" s="42">
        <f>J86-SUM($B$4:B85)</f>
        <v>645184</v>
      </c>
      <c r="D86" s="43">
        <f t="shared" si="6"/>
        <v>0</v>
      </c>
      <c r="E86" s="26">
        <f t="shared" si="7"/>
        <v>0</v>
      </c>
      <c r="F86" s="38">
        <v>0</v>
      </c>
      <c r="G86" s="29">
        <f t="shared" si="8"/>
        <v>645184</v>
      </c>
      <c r="H86" s="28">
        <f t="shared" si="9"/>
        <v>0</v>
      </c>
      <c r="I86" s="28">
        <f t="shared" si="10"/>
        <v>0</v>
      </c>
      <c r="J86" s="41">
        <v>659567</v>
      </c>
    </row>
    <row r="87" spans="1:10" x14ac:dyDescent="0.25">
      <c r="A87" s="24">
        <f t="shared" si="11"/>
        <v>83</v>
      </c>
      <c r="B87" s="6">
        <v>0</v>
      </c>
      <c r="C87" s="42">
        <f>J87-SUM($B$4:B86)</f>
        <v>645184</v>
      </c>
      <c r="D87" s="43">
        <f t="shared" si="6"/>
        <v>0</v>
      </c>
      <c r="E87" s="26">
        <f t="shared" si="7"/>
        <v>0</v>
      </c>
      <c r="F87" s="38">
        <v>0</v>
      </c>
      <c r="G87" s="29">
        <f t="shared" si="8"/>
        <v>645184</v>
      </c>
      <c r="H87" s="28">
        <f t="shared" si="9"/>
        <v>0</v>
      </c>
      <c r="I87" s="28">
        <f t="shared" si="10"/>
        <v>0</v>
      </c>
      <c r="J87" s="41">
        <v>659567</v>
      </c>
    </row>
    <row r="88" spans="1:10" x14ac:dyDescent="0.25">
      <c r="A88" s="24">
        <f t="shared" si="11"/>
        <v>84</v>
      </c>
      <c r="B88" s="6">
        <v>0</v>
      </c>
      <c r="C88" s="42">
        <f>J88-SUM($B$4:B87)</f>
        <v>645184</v>
      </c>
      <c r="D88" s="43">
        <f t="shared" si="6"/>
        <v>0</v>
      </c>
      <c r="E88" s="26">
        <f t="shared" si="7"/>
        <v>0</v>
      </c>
      <c r="F88" s="38">
        <v>0</v>
      </c>
      <c r="G88" s="29">
        <f t="shared" si="8"/>
        <v>645184</v>
      </c>
      <c r="H88" s="28">
        <f t="shared" si="9"/>
        <v>0</v>
      </c>
      <c r="I88" s="28">
        <f t="shared" si="10"/>
        <v>0</v>
      </c>
      <c r="J88" s="41">
        <v>659567</v>
      </c>
    </row>
    <row r="89" spans="1:10" x14ac:dyDescent="0.25">
      <c r="A89" s="24">
        <f t="shared" si="11"/>
        <v>85</v>
      </c>
      <c r="B89" s="6">
        <v>0</v>
      </c>
      <c r="C89" s="42">
        <f>J89-SUM($B$4:B88)</f>
        <v>645184</v>
      </c>
      <c r="D89" s="43">
        <f t="shared" si="6"/>
        <v>0</v>
      </c>
      <c r="E89" s="26">
        <f t="shared" si="7"/>
        <v>0</v>
      </c>
      <c r="F89" s="38">
        <v>0</v>
      </c>
      <c r="G89" s="29">
        <f t="shared" si="8"/>
        <v>645184</v>
      </c>
      <c r="H89" s="28">
        <f t="shared" si="9"/>
        <v>0</v>
      </c>
      <c r="I89" s="28">
        <f t="shared" si="10"/>
        <v>0</v>
      </c>
      <c r="J89" s="41">
        <v>659567</v>
      </c>
    </row>
    <row r="90" spans="1:10" x14ac:dyDescent="0.25">
      <c r="A90" s="24">
        <f t="shared" si="11"/>
        <v>86</v>
      </c>
      <c r="B90" s="6">
        <v>0</v>
      </c>
      <c r="C90" s="42">
        <f>J90-SUM($B$4:B89)</f>
        <v>645184</v>
      </c>
      <c r="D90" s="43">
        <f t="shared" si="6"/>
        <v>0</v>
      </c>
      <c r="E90" s="26">
        <f t="shared" si="7"/>
        <v>0</v>
      </c>
      <c r="F90" s="38">
        <v>0</v>
      </c>
      <c r="G90" s="29">
        <f t="shared" si="8"/>
        <v>645184</v>
      </c>
      <c r="H90" s="28">
        <f t="shared" si="9"/>
        <v>0</v>
      </c>
      <c r="I90" s="28">
        <f t="shared" si="10"/>
        <v>0</v>
      </c>
      <c r="J90" s="41">
        <v>659567</v>
      </c>
    </row>
    <row r="91" spans="1:10" x14ac:dyDescent="0.25">
      <c r="A91" s="24">
        <f t="shared" si="11"/>
        <v>87</v>
      </c>
      <c r="B91" s="6">
        <v>0</v>
      </c>
      <c r="C91" s="42">
        <f>J91-SUM($B$4:B90)</f>
        <v>645184</v>
      </c>
      <c r="D91" s="43">
        <f t="shared" si="6"/>
        <v>0</v>
      </c>
      <c r="E91" s="26">
        <f t="shared" si="7"/>
        <v>0</v>
      </c>
      <c r="F91" s="38">
        <v>0</v>
      </c>
      <c r="G91" s="29">
        <f t="shared" si="8"/>
        <v>645184</v>
      </c>
      <c r="H91" s="28">
        <f t="shared" si="9"/>
        <v>0</v>
      </c>
      <c r="I91" s="28">
        <f t="shared" si="10"/>
        <v>0</v>
      </c>
      <c r="J91" s="41">
        <v>659567</v>
      </c>
    </row>
    <row r="92" spans="1:10" x14ac:dyDescent="0.25">
      <c r="A92" s="24">
        <f t="shared" si="11"/>
        <v>88</v>
      </c>
      <c r="B92" s="6">
        <v>0</v>
      </c>
      <c r="C92" s="42">
        <f>J92-SUM($B$4:B91)</f>
        <v>645184</v>
      </c>
      <c r="D92" s="43">
        <f t="shared" si="6"/>
        <v>0</v>
      </c>
      <c r="E92" s="26">
        <f t="shared" si="7"/>
        <v>0</v>
      </c>
      <c r="F92" s="38">
        <v>0</v>
      </c>
      <c r="G92" s="29">
        <f t="shared" si="8"/>
        <v>645184</v>
      </c>
      <c r="H92" s="28">
        <f t="shared" si="9"/>
        <v>0</v>
      </c>
      <c r="I92" s="28">
        <f t="shared" si="10"/>
        <v>0</v>
      </c>
      <c r="J92" s="41">
        <v>659567</v>
      </c>
    </row>
    <row r="93" spans="1:10" x14ac:dyDescent="0.25">
      <c r="A93" s="24">
        <f t="shared" si="11"/>
        <v>89</v>
      </c>
      <c r="B93" s="6">
        <v>0</v>
      </c>
      <c r="C93" s="42">
        <f>J93-SUM($B$4:B92)</f>
        <v>645184</v>
      </c>
      <c r="D93" s="43">
        <f t="shared" si="6"/>
        <v>0</v>
      </c>
      <c r="E93" s="26">
        <f t="shared" si="7"/>
        <v>0</v>
      </c>
      <c r="F93" s="38">
        <v>0</v>
      </c>
      <c r="G93" s="29">
        <f t="shared" si="8"/>
        <v>645184</v>
      </c>
      <c r="H93" s="28">
        <f t="shared" si="9"/>
        <v>0</v>
      </c>
      <c r="I93" s="28">
        <f t="shared" si="10"/>
        <v>0</v>
      </c>
      <c r="J93" s="41">
        <v>659567</v>
      </c>
    </row>
    <row r="94" spans="1:10" x14ac:dyDescent="0.25">
      <c r="A94" s="24">
        <f t="shared" si="11"/>
        <v>90</v>
      </c>
      <c r="B94" s="6">
        <v>0</v>
      </c>
      <c r="C94" s="42">
        <f>J94-SUM($B$4:B93)</f>
        <v>645184</v>
      </c>
      <c r="D94" s="43">
        <f t="shared" si="6"/>
        <v>0</v>
      </c>
      <c r="E94" s="26">
        <f t="shared" si="7"/>
        <v>0</v>
      </c>
      <c r="F94" s="38">
        <v>0</v>
      </c>
      <c r="G94" s="29">
        <f t="shared" si="8"/>
        <v>645184</v>
      </c>
      <c r="H94" s="28">
        <f t="shared" si="9"/>
        <v>0</v>
      </c>
      <c r="I94" s="28">
        <f t="shared" si="10"/>
        <v>0</v>
      </c>
      <c r="J94" s="41">
        <v>659567</v>
      </c>
    </row>
    <row r="95" spans="1:10" x14ac:dyDescent="0.25">
      <c r="A95" s="24">
        <f t="shared" si="11"/>
        <v>91</v>
      </c>
      <c r="B95" s="6">
        <v>0</v>
      </c>
      <c r="C95" s="42">
        <f>J95-SUM($B$4:B94)</f>
        <v>645184</v>
      </c>
      <c r="D95" s="43">
        <f t="shared" si="6"/>
        <v>0</v>
      </c>
      <c r="E95" s="26">
        <f t="shared" si="7"/>
        <v>0</v>
      </c>
      <c r="F95" s="38">
        <v>0</v>
      </c>
      <c r="G95" s="29">
        <f t="shared" si="8"/>
        <v>645184</v>
      </c>
      <c r="H95" s="28">
        <f t="shared" si="9"/>
        <v>0</v>
      </c>
      <c r="I95" s="28">
        <f t="shared" si="10"/>
        <v>0</v>
      </c>
      <c r="J95" s="41">
        <v>659567</v>
      </c>
    </row>
    <row r="96" spans="1:10" x14ac:dyDescent="0.25">
      <c r="A96" s="24">
        <f t="shared" si="11"/>
        <v>92</v>
      </c>
      <c r="B96" s="6">
        <v>0</v>
      </c>
      <c r="C96" s="42">
        <f>J96-SUM($B$4:B95)</f>
        <v>645184</v>
      </c>
      <c r="D96" s="43">
        <f>B96/C96</f>
        <v>0</v>
      </c>
      <c r="E96" s="26">
        <f>(2*D96)/(2+D96)</f>
        <v>0</v>
      </c>
      <c r="F96" s="38">
        <v>0</v>
      </c>
      <c r="G96" s="29">
        <f t="shared" si="8"/>
        <v>645184</v>
      </c>
      <c r="H96" s="28">
        <f>F96/G96</f>
        <v>0</v>
      </c>
      <c r="I96" s="28">
        <f>(2*H96)/(2+H96)</f>
        <v>0</v>
      </c>
      <c r="J96" s="41">
        <v>659567</v>
      </c>
    </row>
    <row r="97" spans="1:1" x14ac:dyDescent="0.25">
      <c r="A97" s="1" t="s">
        <v>32</v>
      </c>
    </row>
    <row r="98" spans="1:1" x14ac:dyDescent="0.25">
      <c r="A98" s="1" t="s">
        <v>34</v>
      </c>
    </row>
    <row r="99" spans="1:1" x14ac:dyDescent="0.25">
      <c r="A99" s="1" t="s">
        <v>37</v>
      </c>
    </row>
    <row r="101" spans="1:1" x14ac:dyDescent="0.25">
      <c r="A101" s="1" t="s">
        <v>40</v>
      </c>
    </row>
  </sheetData>
  <mergeCells count="2">
    <mergeCell ref="A2:C2"/>
    <mergeCell ref="F2:H2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6B9C-8C67-4D32-9276-C38D53E1BD63}">
  <sheetPr codeName="Hoja5"/>
  <dimension ref="B2:Q98"/>
  <sheetViews>
    <sheetView zoomScale="115" zoomScaleNormal="115" workbookViewId="0"/>
  </sheetViews>
  <sheetFormatPr baseColWidth="10" defaultColWidth="11.42578125" defaultRowHeight="15" x14ac:dyDescent="0.25"/>
  <cols>
    <col min="1" max="1" width="3.7109375" style="1" customWidth="1"/>
    <col min="2" max="2" width="14.42578125" style="1" customWidth="1"/>
    <col min="3" max="15" width="11.42578125" style="1"/>
    <col min="16" max="16" width="11.42578125" style="1" customWidth="1"/>
    <col min="17" max="16384" width="11.42578125" style="1"/>
  </cols>
  <sheetData>
    <row r="2" spans="2:17" ht="15.75" x14ac:dyDescent="0.25">
      <c r="B2" s="4" t="s">
        <v>0</v>
      </c>
    </row>
    <row r="3" spans="2:17" ht="15.75" thickBot="1" x14ac:dyDescent="0.3">
      <c r="B3" s="2"/>
    </row>
    <row r="4" spans="2:17" ht="15.75" thickBot="1" x14ac:dyDescent="0.3">
      <c r="B4" s="97" t="s">
        <v>11</v>
      </c>
      <c r="C4" s="95" t="s">
        <v>44</v>
      </c>
      <c r="D4" s="96"/>
      <c r="E4" s="96"/>
      <c r="F4" s="96"/>
      <c r="G4" s="96"/>
      <c r="H4" s="96"/>
      <c r="I4" s="95" t="s">
        <v>10</v>
      </c>
      <c r="J4" s="96"/>
      <c r="K4" s="96"/>
      <c r="L4" s="96"/>
      <c r="M4" s="96"/>
      <c r="N4" s="96"/>
    </row>
    <row r="5" spans="2:17" ht="15.75" thickBot="1" x14ac:dyDescent="0.3">
      <c r="B5" s="98"/>
      <c r="C5" s="9" t="s">
        <v>14</v>
      </c>
      <c r="D5" s="11" t="s">
        <v>15</v>
      </c>
      <c r="E5" s="10" t="s">
        <v>16</v>
      </c>
      <c r="F5" s="11" t="s">
        <v>17</v>
      </c>
      <c r="G5" s="8" t="s">
        <v>1</v>
      </c>
      <c r="H5" s="8" t="s">
        <v>2</v>
      </c>
      <c r="I5" s="9" t="s">
        <v>14</v>
      </c>
      <c r="J5" s="11" t="s">
        <v>15</v>
      </c>
      <c r="K5" s="10" t="s">
        <v>16</v>
      </c>
      <c r="L5" s="11" t="s">
        <v>17</v>
      </c>
      <c r="M5" s="8" t="s">
        <v>1</v>
      </c>
      <c r="N5" s="8" t="s">
        <v>2</v>
      </c>
    </row>
    <row r="6" spans="2:17" x14ac:dyDescent="0.25">
      <c r="B6" s="13">
        <v>0</v>
      </c>
      <c r="C6" s="5" cm="1">
        <f t="array" ref="C6:C98">D_Puebla!E4:E96</f>
        <v>3.4981343283582088E-4</v>
      </c>
      <c r="D6" s="7" cm="1">
        <f t="array" ref="D6:D98">D_Puebla!I4:I96</f>
        <v>6.9950451763334308E-4</v>
      </c>
      <c r="E6" s="6">
        <f>+C6*(1-0.5*D6)</f>
        <v>3.496910847975221E-4</v>
      </c>
      <c r="F6" s="7">
        <f>+D6*(1-0.5*C6)</f>
        <v>6.993821695950443E-4</v>
      </c>
      <c r="G6" s="12">
        <f>+F6+E6</f>
        <v>1.0490732543925665E-3</v>
      </c>
      <c r="H6" s="12">
        <f>1-G6</f>
        <v>0.99895092674560748</v>
      </c>
      <c r="I6" s="5" cm="1">
        <f t="array" ref="I6:I98">D_Nacional!E4:E96</f>
        <v>9.9173848192749621E-4</v>
      </c>
      <c r="J6" s="7" cm="1">
        <f t="array" ref="J6:J98">D_Nacional!I4:I96</f>
        <v>3.6749843086670521E-3</v>
      </c>
      <c r="K6" s="6">
        <f>+I6*(1-0.5*J6)</f>
        <v>9.8991617024780389E-4</v>
      </c>
      <c r="L6" s="7">
        <f>+J6*(1-0.5*I6)</f>
        <v>3.6731619969873593E-3</v>
      </c>
      <c r="M6" s="12">
        <f>+K6+L6</f>
        <v>4.6630781672351634E-3</v>
      </c>
      <c r="N6" s="12">
        <f>1-M6</f>
        <v>0.99533692183276479</v>
      </c>
    </row>
    <row r="7" spans="2:17" x14ac:dyDescent="0.25">
      <c r="B7" s="14">
        <f>B6+1</f>
        <v>1</v>
      </c>
      <c r="C7" s="5">
        <v>1.4674342476577492E-3</v>
      </c>
      <c r="D7" s="7">
        <v>2.2003441563936926E-3</v>
      </c>
      <c r="E7" s="6">
        <f t="shared" ref="E7:E70" si="0">+C7*(1-0.5*D7)</f>
        <v>1.4658198174718866E-3</v>
      </c>
      <c r="F7" s="7">
        <f t="shared" ref="F7:F70" si="1">+D7*(1-0.5*C7)</f>
        <v>2.1987297262078299E-3</v>
      </c>
      <c r="G7" s="12">
        <f t="shared" ref="G7:G70" si="2">+F7+E7</f>
        <v>3.6645495436797163E-3</v>
      </c>
      <c r="H7" s="12">
        <f t="shared" ref="H7:H70" si="3">1-G7</f>
        <v>0.99633545045632033</v>
      </c>
      <c r="I7" s="5">
        <v>2.7438507632331975E-3</v>
      </c>
      <c r="J7" s="7">
        <v>8.6367151852301035E-3</v>
      </c>
      <c r="K7" s="6">
        <f t="shared" ref="K7:K70" si="4">+I7*(1-0.5*J7)</f>
        <v>2.732001834456787E-3</v>
      </c>
      <c r="L7" s="7">
        <f t="shared" ref="L7:L70" si="5">+J7*(1-0.5*I7)</f>
        <v>8.6248662564536935E-3</v>
      </c>
      <c r="M7" s="12">
        <f t="shared" ref="M7:M70" si="6">+K7+L7</f>
        <v>1.135686809091048E-2</v>
      </c>
      <c r="N7" s="12">
        <f t="shared" ref="N7:N70" si="7">1-M7</f>
        <v>0.98864313190908948</v>
      </c>
    </row>
    <row r="8" spans="2:17" x14ac:dyDescent="0.25">
      <c r="B8" s="14">
        <f t="shared" ref="B8:B71" si="8">B7+1</f>
        <v>2</v>
      </c>
      <c r="C8" s="5">
        <v>1.9720186542305129E-3</v>
      </c>
      <c r="D8" s="7">
        <v>2.5575447570332483E-3</v>
      </c>
      <c r="E8" s="6">
        <f t="shared" si="0"/>
        <v>1.9694968912455633E-3</v>
      </c>
      <c r="F8" s="7">
        <f t="shared" si="1"/>
        <v>2.5550229940482986E-3</v>
      </c>
      <c r="G8" s="12">
        <f t="shared" si="2"/>
        <v>4.5245198852938619E-3</v>
      </c>
      <c r="H8" s="12">
        <f t="shared" si="3"/>
        <v>0.9954754801147061</v>
      </c>
      <c r="I8" s="5">
        <v>2.4476416091489843E-3</v>
      </c>
      <c r="J8" s="7">
        <v>1.0029162007796683E-2</v>
      </c>
      <c r="K8" s="6">
        <f t="shared" si="4"/>
        <v>2.4353677120313947E-3</v>
      </c>
      <c r="L8" s="7">
        <f t="shared" si="5"/>
        <v>1.0016888110679092E-2</v>
      </c>
      <c r="M8" s="12">
        <f t="shared" si="6"/>
        <v>1.2452255822710487E-2</v>
      </c>
      <c r="N8" s="12">
        <f t="shared" si="7"/>
        <v>0.98754774417728952</v>
      </c>
      <c r="P8" s="44"/>
      <c r="Q8" s="44"/>
    </row>
    <row r="9" spans="2:17" x14ac:dyDescent="0.25">
      <c r="B9" s="14">
        <f t="shared" si="8"/>
        <v>3</v>
      </c>
      <c r="C9" s="5">
        <v>9.081439141002698E-4</v>
      </c>
      <c r="D9" s="7">
        <v>2.6686592655849701E-3</v>
      </c>
      <c r="E9" s="6">
        <f t="shared" si="0"/>
        <v>9.0693215076484565E-4</v>
      </c>
      <c r="F9" s="7">
        <f t="shared" si="1"/>
        <v>2.6674475022495461E-3</v>
      </c>
      <c r="G9" s="12">
        <f t="shared" si="2"/>
        <v>3.5743796530143916E-3</v>
      </c>
      <c r="H9" s="12">
        <f t="shared" si="3"/>
        <v>0.99642562034698556</v>
      </c>
      <c r="I9" s="5">
        <v>2.0715469059386501E-3</v>
      </c>
      <c r="J9" s="7">
        <v>1.0759790618301578E-2</v>
      </c>
      <c r="K9" s="6">
        <f t="shared" si="4"/>
        <v>2.0604022004567049E-3</v>
      </c>
      <c r="L9" s="7">
        <f t="shared" si="5"/>
        <v>1.0748645912819633E-2</v>
      </c>
      <c r="M9" s="12">
        <f t="shared" si="6"/>
        <v>1.2809048113276338E-2</v>
      </c>
      <c r="N9" s="12">
        <f t="shared" si="7"/>
        <v>0.98719095188672368</v>
      </c>
    </row>
    <row r="10" spans="2:17" x14ac:dyDescent="0.25">
      <c r="B10" s="14">
        <f t="shared" si="8"/>
        <v>4</v>
      </c>
      <c r="C10" s="5">
        <v>7.7177508269018753E-4</v>
      </c>
      <c r="D10" s="7">
        <v>3.9627937696075739E-3</v>
      </c>
      <c r="E10" s="6">
        <f t="shared" si="0"/>
        <v>7.7024588994557602E-4</v>
      </c>
      <c r="F10" s="7">
        <f t="shared" si="1"/>
        <v>3.9612645768629627E-3</v>
      </c>
      <c r="G10" s="12">
        <f t="shared" si="2"/>
        <v>4.7315104668085384E-3</v>
      </c>
      <c r="H10" s="12">
        <f t="shared" si="3"/>
        <v>0.99526848953319147</v>
      </c>
      <c r="I10" s="5">
        <v>1.712355029479031E-3</v>
      </c>
      <c r="J10" s="7">
        <v>1.125761514184254E-2</v>
      </c>
      <c r="K10" s="6">
        <f t="shared" si="4"/>
        <v>1.7027165125249942E-3</v>
      </c>
      <c r="L10" s="7">
        <f t="shared" si="5"/>
        <v>1.1247976624888504E-2</v>
      </c>
      <c r="M10" s="12">
        <f t="shared" si="6"/>
        <v>1.2950693137413498E-2</v>
      </c>
      <c r="N10" s="12">
        <f t="shared" si="7"/>
        <v>0.98704930686258652</v>
      </c>
    </row>
    <row r="11" spans="2:17" x14ac:dyDescent="0.25">
      <c r="B11" s="14">
        <f t="shared" si="8"/>
        <v>5</v>
      </c>
      <c r="C11" s="5">
        <v>6.8842866157994387E-4</v>
      </c>
      <c r="D11" s="7">
        <v>3.4946005556987774E-3</v>
      </c>
      <c r="E11" s="6">
        <f t="shared" si="0"/>
        <v>6.8722576998828577E-4</v>
      </c>
      <c r="F11" s="7">
        <f t="shared" si="1"/>
        <v>3.4933976641071192E-3</v>
      </c>
      <c r="G11" s="12">
        <f t="shared" si="2"/>
        <v>4.1806234340954051E-3</v>
      </c>
      <c r="H11" s="12">
        <f t="shared" si="3"/>
        <v>0.99581937656590458</v>
      </c>
      <c r="I11" s="5">
        <v>1.392976466029179E-3</v>
      </c>
      <c r="J11" s="7">
        <v>1.0889336337687563E-2</v>
      </c>
      <c r="K11" s="6">
        <f t="shared" si="4"/>
        <v>1.3853921714046414E-3</v>
      </c>
      <c r="L11" s="7">
        <f t="shared" si="5"/>
        <v>1.0881752043063025E-2</v>
      </c>
      <c r="M11" s="12">
        <f t="shared" si="6"/>
        <v>1.2267144214467667E-2</v>
      </c>
      <c r="N11" s="12">
        <f t="shared" si="7"/>
        <v>0.98773285578553238</v>
      </c>
    </row>
    <row r="12" spans="2:17" x14ac:dyDescent="0.25">
      <c r="B12" s="14">
        <f t="shared" si="8"/>
        <v>6</v>
      </c>
      <c r="C12" s="5">
        <v>6.7979187910162885E-4</v>
      </c>
      <c r="D12" s="7">
        <v>3.23793607687487E-3</v>
      </c>
      <c r="E12" s="6">
        <f t="shared" si="0"/>
        <v>6.7869131777657397E-4</v>
      </c>
      <c r="F12" s="7">
        <f t="shared" si="1"/>
        <v>3.2368355155498151E-3</v>
      </c>
      <c r="G12" s="12">
        <f t="shared" si="2"/>
        <v>3.9155268333263887E-3</v>
      </c>
      <c r="H12" s="12">
        <f t="shared" si="3"/>
        <v>0.99608447316667359</v>
      </c>
      <c r="I12" s="5">
        <v>1.0787140966115739E-3</v>
      </c>
      <c r="J12" s="7">
        <v>1.0549915645480098E-2</v>
      </c>
      <c r="K12" s="6">
        <f t="shared" si="4"/>
        <v>1.0730239252491527E-3</v>
      </c>
      <c r="L12" s="7">
        <f t="shared" si="5"/>
        <v>1.0544225474117676E-2</v>
      </c>
      <c r="M12" s="12">
        <f t="shared" si="6"/>
        <v>1.1617249399366829E-2</v>
      </c>
      <c r="N12" s="12">
        <f t="shared" si="7"/>
        <v>0.98838275060063319</v>
      </c>
    </row>
    <row r="13" spans="2:17" x14ac:dyDescent="0.25">
      <c r="B13" s="14">
        <f t="shared" si="8"/>
        <v>7</v>
      </c>
      <c r="C13" s="5">
        <v>4.3048812570253272E-4</v>
      </c>
      <c r="D13" s="7">
        <v>3.1526152376403155E-3</v>
      </c>
      <c r="E13" s="6">
        <f t="shared" si="0"/>
        <v>4.2980954399017622E-4</v>
      </c>
      <c r="F13" s="7">
        <f t="shared" si="1"/>
        <v>3.1519366559279592E-3</v>
      </c>
      <c r="G13" s="12">
        <f t="shared" si="2"/>
        <v>3.5817461999181352E-3</v>
      </c>
      <c r="H13" s="12">
        <f t="shared" si="3"/>
        <v>0.99641825380008187</v>
      </c>
      <c r="I13" s="5">
        <v>8.7905711194334656E-4</v>
      </c>
      <c r="J13" s="7">
        <v>1.0149090552785069E-2</v>
      </c>
      <c r="K13" s="6">
        <f t="shared" si="4"/>
        <v>8.7459629682825517E-4</v>
      </c>
      <c r="L13" s="7">
        <f t="shared" si="5"/>
        <v>1.0144629737669978E-2</v>
      </c>
      <c r="M13" s="12">
        <f t="shared" si="6"/>
        <v>1.1019226034498232E-2</v>
      </c>
      <c r="N13" s="12">
        <f t="shared" si="7"/>
        <v>0.98898077396550177</v>
      </c>
    </row>
    <row r="14" spans="2:17" x14ac:dyDescent="0.25">
      <c r="B14" s="14">
        <f t="shared" si="8"/>
        <v>8</v>
      </c>
      <c r="C14" s="5">
        <v>3.1071983428275507E-4</v>
      </c>
      <c r="D14" s="7">
        <v>2.689701546578389E-3</v>
      </c>
      <c r="E14" s="6">
        <f t="shared" si="0"/>
        <v>3.1030196247334361E-4</v>
      </c>
      <c r="F14" s="7">
        <f t="shared" si="1"/>
        <v>2.6892836747689775E-3</v>
      </c>
      <c r="G14" s="12">
        <f t="shared" si="2"/>
        <v>2.9995856372423209E-3</v>
      </c>
      <c r="H14" s="12">
        <f t="shared" si="3"/>
        <v>0.99700041436275766</v>
      </c>
      <c r="I14" s="5">
        <v>7.2873438695441326E-4</v>
      </c>
      <c r="J14" s="7">
        <v>9.7748674003406543E-3</v>
      </c>
      <c r="K14" s="6">
        <f t="shared" si="4"/>
        <v>7.2517274595313927E-4</v>
      </c>
      <c r="L14" s="7">
        <f t="shared" si="5"/>
        <v>9.7713057593393805E-3</v>
      </c>
      <c r="M14" s="12">
        <f t="shared" si="6"/>
        <v>1.049647850529252E-2</v>
      </c>
      <c r="N14" s="12">
        <f t="shared" si="7"/>
        <v>0.98950352149470744</v>
      </c>
    </row>
    <row r="15" spans="2:17" x14ac:dyDescent="0.25">
      <c r="B15" s="14">
        <f t="shared" si="8"/>
        <v>9</v>
      </c>
      <c r="C15" s="5">
        <v>4.4231478068558792E-4</v>
      </c>
      <c r="D15" s="7">
        <v>2.6999828182911567E-3</v>
      </c>
      <c r="E15" s="6">
        <f t="shared" si="0"/>
        <v>4.4171765953152423E-4</v>
      </c>
      <c r="F15" s="7">
        <f t="shared" si="1"/>
        <v>2.6993856971370932E-3</v>
      </c>
      <c r="G15" s="12">
        <f t="shared" si="2"/>
        <v>3.1411033566686175E-3</v>
      </c>
      <c r="H15" s="12">
        <f t="shared" si="3"/>
        <v>0.99685889664333138</v>
      </c>
      <c r="I15" s="5">
        <v>6.2541371295292371E-4</v>
      </c>
      <c r="J15" s="7">
        <v>8.9782693942152252E-3</v>
      </c>
      <c r="K15" s="6">
        <f t="shared" si="4"/>
        <v>6.2260614655405984E-4</v>
      </c>
      <c r="L15" s="7">
        <f t="shared" si="5"/>
        <v>8.9754618278163611E-3</v>
      </c>
      <c r="M15" s="12">
        <f t="shared" si="6"/>
        <v>9.5980679743704212E-3</v>
      </c>
      <c r="N15" s="12">
        <f t="shared" si="7"/>
        <v>0.99040193202562954</v>
      </c>
    </row>
    <row r="16" spans="2:17" x14ac:dyDescent="0.25">
      <c r="B16" s="14">
        <f t="shared" si="8"/>
        <v>10</v>
      </c>
      <c r="C16" s="5">
        <v>3.7677200583996609E-4</v>
      </c>
      <c r="D16" s="7">
        <v>2.540459164471208E-3</v>
      </c>
      <c r="E16" s="6">
        <f t="shared" si="0"/>
        <v>3.7629341889238994E-4</v>
      </c>
      <c r="F16" s="7">
        <f t="shared" si="1"/>
        <v>2.5399805775236316E-3</v>
      </c>
      <c r="G16" s="12">
        <f t="shared" si="2"/>
        <v>2.9162739964160213E-3</v>
      </c>
      <c r="H16" s="12">
        <f t="shared" si="3"/>
        <v>0.99708372600358397</v>
      </c>
      <c r="I16" s="5">
        <v>5.0805355610272123E-4</v>
      </c>
      <c r="J16" s="7">
        <v>9.13801326800503E-3</v>
      </c>
      <c r="K16" s="6">
        <f t="shared" si="4"/>
        <v>5.0573225603445932E-4</v>
      </c>
      <c r="L16" s="7">
        <f t="shared" si="5"/>
        <v>9.1356919679367685E-3</v>
      </c>
      <c r="M16" s="12">
        <f t="shared" si="6"/>
        <v>9.6414242239712278E-3</v>
      </c>
      <c r="N16" s="12">
        <f t="shared" si="7"/>
        <v>0.99035857577602882</v>
      </c>
    </row>
    <row r="17" spans="2:14" x14ac:dyDescent="0.25">
      <c r="B17" s="14">
        <f t="shared" si="8"/>
        <v>11</v>
      </c>
      <c r="C17" s="5">
        <v>1.4384694684855314E-4</v>
      </c>
      <c r="D17" s="7">
        <v>2.0119760479041919E-3</v>
      </c>
      <c r="E17" s="6">
        <f t="shared" si="0"/>
        <v>1.4370223854274141E-4</v>
      </c>
      <c r="F17" s="7">
        <f t="shared" si="1"/>
        <v>2.0118313395983802E-3</v>
      </c>
      <c r="G17" s="12">
        <f t="shared" si="2"/>
        <v>2.1555335781411216E-3</v>
      </c>
      <c r="H17" s="12">
        <f t="shared" si="3"/>
        <v>0.99784446642185887</v>
      </c>
      <c r="I17" s="5">
        <v>4.1805480646901104E-4</v>
      </c>
      <c r="J17" s="7">
        <v>8.5907797323391284E-3</v>
      </c>
      <c r="K17" s="6">
        <f t="shared" si="4"/>
        <v>4.1625909808980054E-4</v>
      </c>
      <c r="L17" s="7">
        <f t="shared" si="5"/>
        <v>8.5889840239599183E-3</v>
      </c>
      <c r="M17" s="12">
        <f t="shared" si="6"/>
        <v>9.0052431220497189E-3</v>
      </c>
      <c r="N17" s="12">
        <f t="shared" si="7"/>
        <v>0.99099475687795024</v>
      </c>
    </row>
    <row r="18" spans="2:14" x14ac:dyDescent="0.25">
      <c r="B18" s="14">
        <f t="shared" si="8"/>
        <v>12</v>
      </c>
      <c r="C18" s="5">
        <v>1.3844982347647507E-4</v>
      </c>
      <c r="D18" s="7">
        <v>2.1207929921622866E-3</v>
      </c>
      <c r="E18" s="6">
        <f t="shared" si="0"/>
        <v>1.3830301176877757E-4</v>
      </c>
      <c r="F18" s="7">
        <f t="shared" si="1"/>
        <v>2.1206461804545891E-3</v>
      </c>
      <c r="G18" s="12">
        <f t="shared" si="2"/>
        <v>2.2589491922233667E-3</v>
      </c>
      <c r="H18" s="12">
        <f t="shared" si="3"/>
        <v>0.99774105080777664</v>
      </c>
      <c r="I18" s="5">
        <v>3.1865069323565927E-4</v>
      </c>
      <c r="J18" s="7">
        <v>8.267261153631713E-3</v>
      </c>
      <c r="K18" s="6">
        <f t="shared" si="4"/>
        <v>3.1733350898677682E-4</v>
      </c>
      <c r="L18" s="7">
        <f t="shared" si="5"/>
        <v>8.2659439693828305E-3</v>
      </c>
      <c r="M18" s="12">
        <f t="shared" si="6"/>
        <v>8.5832774783696081E-3</v>
      </c>
      <c r="N18" s="12">
        <f t="shared" si="7"/>
        <v>0.99141672252163038</v>
      </c>
    </row>
    <row r="19" spans="2:14" x14ac:dyDescent="0.25">
      <c r="B19" s="14">
        <f t="shared" si="8"/>
        <v>13</v>
      </c>
      <c r="C19" s="5">
        <v>9.1482938431982434E-5</v>
      </c>
      <c r="D19" s="7">
        <v>2.0106932321893706E-3</v>
      </c>
      <c r="E19" s="6">
        <f t="shared" si="0"/>
        <v>9.1390966369399451E-5</v>
      </c>
      <c r="F19" s="7">
        <f t="shared" si="1"/>
        <v>2.0106012601267876E-3</v>
      </c>
      <c r="G19" s="12">
        <f t="shared" si="2"/>
        <v>2.1019922264961873E-3</v>
      </c>
      <c r="H19" s="12">
        <f t="shared" si="3"/>
        <v>0.99789800777350379</v>
      </c>
      <c r="I19" s="5">
        <v>3.526727058986239E-4</v>
      </c>
      <c r="J19" s="7">
        <v>7.7027217891259339E-3</v>
      </c>
      <c r="K19" s="6">
        <f t="shared" si="4"/>
        <v>3.5131443603054623E-4</v>
      </c>
      <c r="L19" s="7">
        <f t="shared" si="5"/>
        <v>7.7013635192578565E-3</v>
      </c>
      <c r="M19" s="12">
        <f t="shared" si="6"/>
        <v>8.0526779552884033E-3</v>
      </c>
      <c r="N19" s="12">
        <f t="shared" si="7"/>
        <v>0.99194732204471159</v>
      </c>
    </row>
    <row r="20" spans="2:14" x14ac:dyDescent="0.25">
      <c r="B20" s="14">
        <f t="shared" si="8"/>
        <v>14</v>
      </c>
      <c r="C20" s="5">
        <v>0</v>
      </c>
      <c r="D20" s="7">
        <v>2.3098022231846397E-3</v>
      </c>
      <c r="E20" s="6">
        <f t="shared" si="0"/>
        <v>0</v>
      </c>
      <c r="F20" s="7">
        <f t="shared" si="1"/>
        <v>2.3098022231846397E-3</v>
      </c>
      <c r="G20" s="12">
        <f t="shared" si="2"/>
        <v>2.3098022231846397E-3</v>
      </c>
      <c r="H20" s="12">
        <f t="shared" si="3"/>
        <v>0.99769019777681534</v>
      </c>
      <c r="I20" s="5">
        <v>2.9644470795085152E-4</v>
      </c>
      <c r="J20" s="7">
        <v>7.3002738451560991E-3</v>
      </c>
      <c r="K20" s="6">
        <f t="shared" si="4"/>
        <v>2.9536264417685722E-4</v>
      </c>
      <c r="L20" s="7">
        <f t="shared" si="5"/>
        <v>7.2991917813821049E-3</v>
      </c>
      <c r="M20" s="12">
        <f t="shared" si="6"/>
        <v>7.5945544255589621E-3</v>
      </c>
      <c r="N20" s="12">
        <f t="shared" si="7"/>
        <v>0.99240544557444099</v>
      </c>
    </row>
    <row r="21" spans="2:14" x14ac:dyDescent="0.25">
      <c r="B21" s="14">
        <f t="shared" si="8"/>
        <v>15</v>
      </c>
      <c r="C21" s="5">
        <v>0</v>
      </c>
      <c r="D21" s="7">
        <v>2.0462061909633823E-3</v>
      </c>
      <c r="E21" s="6">
        <f t="shared" si="0"/>
        <v>0</v>
      </c>
      <c r="F21" s="7">
        <f t="shared" si="1"/>
        <v>2.0462061909633823E-3</v>
      </c>
      <c r="G21" s="12">
        <f t="shared" si="2"/>
        <v>2.0462061909633823E-3</v>
      </c>
      <c r="H21" s="12">
        <f t="shared" si="3"/>
        <v>0.99795379380903659</v>
      </c>
      <c r="I21" s="5">
        <v>2.3833046970540833E-4</v>
      </c>
      <c r="J21" s="7">
        <v>7.0463996064931986E-3</v>
      </c>
      <c r="K21" s="6">
        <f t="shared" si="4"/>
        <v>2.3749078384143458E-4</v>
      </c>
      <c r="L21" s="7">
        <f t="shared" si="5"/>
        <v>7.0455599206292255E-3</v>
      </c>
      <c r="M21" s="12">
        <f t="shared" si="6"/>
        <v>7.2830507044706599E-3</v>
      </c>
      <c r="N21" s="12">
        <f t="shared" si="7"/>
        <v>0.99271694929552934</v>
      </c>
    </row>
    <row r="22" spans="2:14" x14ac:dyDescent="0.25">
      <c r="B22" s="14">
        <f t="shared" si="8"/>
        <v>16</v>
      </c>
      <c r="C22" s="5">
        <v>4.5525938403405345E-5</v>
      </c>
      <c r="D22" s="7">
        <v>2.7278927028870194E-3</v>
      </c>
      <c r="E22" s="6">
        <f t="shared" si="0"/>
        <v>4.5463843465823975E-5</v>
      </c>
      <c r="F22" s="7">
        <f t="shared" si="1"/>
        <v>2.7278306079494383E-3</v>
      </c>
      <c r="G22" s="12">
        <f t="shared" si="2"/>
        <v>2.7732944514152623E-3</v>
      </c>
      <c r="H22" s="12">
        <f t="shared" si="3"/>
        <v>0.99722670554858472</v>
      </c>
      <c r="I22" s="5">
        <v>2.4171706061620459E-4</v>
      </c>
      <c r="J22" s="7">
        <v>6.968882665056019E-3</v>
      </c>
      <c r="K22" s="6">
        <f t="shared" si="4"/>
        <v>2.4087481169941631E-4</v>
      </c>
      <c r="L22" s="7">
        <f t="shared" si="5"/>
        <v>6.9680404161392307E-3</v>
      </c>
      <c r="M22" s="12">
        <f t="shared" si="6"/>
        <v>7.208915227838647E-3</v>
      </c>
      <c r="N22" s="12">
        <f t="shared" si="7"/>
        <v>0.99279108477216138</v>
      </c>
    </row>
    <row r="23" spans="2:14" x14ac:dyDescent="0.25">
      <c r="B23" s="14">
        <f t="shared" si="8"/>
        <v>17</v>
      </c>
      <c r="C23" s="5">
        <v>8.7332430898214052E-5</v>
      </c>
      <c r="D23" s="7">
        <v>2.268167146471255E-3</v>
      </c>
      <c r="E23" s="6">
        <f t="shared" si="0"/>
        <v>8.7233388622921654E-5</v>
      </c>
      <c r="F23" s="7">
        <f t="shared" si="1"/>
        <v>2.2680681041959624E-3</v>
      </c>
      <c r="G23" s="12">
        <f t="shared" si="2"/>
        <v>2.355301492818884E-3</v>
      </c>
      <c r="H23" s="12">
        <f t="shared" si="3"/>
        <v>0.99764469850718107</v>
      </c>
      <c r="I23" s="5">
        <v>2.6669432385580723E-4</v>
      </c>
      <c r="J23" s="7">
        <v>6.7066021550723299E-3</v>
      </c>
      <c r="K23" s="6">
        <f t="shared" si="4"/>
        <v>2.6580001749224876E-4</v>
      </c>
      <c r="L23" s="7">
        <f t="shared" si="5"/>
        <v>6.7057078487087717E-3</v>
      </c>
      <c r="M23" s="12">
        <f t="shared" si="6"/>
        <v>6.9715078662010207E-3</v>
      </c>
      <c r="N23" s="12">
        <f t="shared" si="7"/>
        <v>0.99302849213379896</v>
      </c>
    </row>
    <row r="24" spans="2:14" x14ac:dyDescent="0.25">
      <c r="B24" s="14">
        <f t="shared" si="8"/>
        <v>18</v>
      </c>
      <c r="C24" s="5">
        <v>1.169841486478582E-4</v>
      </c>
      <c r="D24" s="7">
        <v>1.947950755804893E-3</v>
      </c>
      <c r="E24" s="6">
        <f t="shared" si="0"/>
        <v>1.1687020896747031E-4</v>
      </c>
      <c r="F24" s="7">
        <f t="shared" si="1"/>
        <v>1.9478368161245051E-3</v>
      </c>
      <c r="G24" s="12">
        <f t="shared" si="2"/>
        <v>2.0647070250919752E-3</v>
      </c>
      <c r="H24" s="12">
        <f t="shared" si="3"/>
        <v>0.99793529297490802</v>
      </c>
      <c r="I24" s="5">
        <v>2.8655566191309435E-4</v>
      </c>
      <c r="J24" s="7">
        <v>6.418613980543577E-3</v>
      </c>
      <c r="K24" s="6">
        <f t="shared" si="4"/>
        <v>2.8563601682421468E-4</v>
      </c>
      <c r="L24" s="7">
        <f t="shared" si="5"/>
        <v>6.4176943354546968E-3</v>
      </c>
      <c r="M24" s="12">
        <f t="shared" si="6"/>
        <v>6.7033303522789113E-3</v>
      </c>
      <c r="N24" s="12">
        <f t="shared" si="7"/>
        <v>0.99329666964772112</v>
      </c>
    </row>
    <row r="25" spans="2:14" x14ac:dyDescent="0.25">
      <c r="B25" s="14">
        <f t="shared" si="8"/>
        <v>19</v>
      </c>
      <c r="C25" s="5">
        <v>0</v>
      </c>
      <c r="D25" s="7">
        <v>1.5648091802138572E-3</v>
      </c>
      <c r="E25" s="6">
        <f t="shared" si="0"/>
        <v>0</v>
      </c>
      <c r="F25" s="7">
        <f t="shared" si="1"/>
        <v>1.5648091802138572E-3</v>
      </c>
      <c r="G25" s="12">
        <f t="shared" si="2"/>
        <v>1.5648091802138572E-3</v>
      </c>
      <c r="H25" s="12">
        <f t="shared" si="3"/>
        <v>0.99843519081978616</v>
      </c>
      <c r="I25" s="5">
        <v>3.2956530336486169E-4</v>
      </c>
      <c r="J25" s="7">
        <v>6.140675474302173E-3</v>
      </c>
      <c r="K25" s="6">
        <f t="shared" si="4"/>
        <v>3.2855342657708494E-4</v>
      </c>
      <c r="L25" s="7">
        <f t="shared" si="5"/>
        <v>6.1396635975143965E-3</v>
      </c>
      <c r="M25" s="12">
        <f t="shared" si="6"/>
        <v>6.4682170240914815E-3</v>
      </c>
      <c r="N25" s="12">
        <f t="shared" si="7"/>
        <v>0.9935317829759085</v>
      </c>
    </row>
    <row r="26" spans="2:14" x14ac:dyDescent="0.25">
      <c r="B26" s="14">
        <f t="shared" si="8"/>
        <v>20</v>
      </c>
      <c r="C26" s="5">
        <v>0</v>
      </c>
      <c r="D26" s="7">
        <v>1.5203473148977143E-3</v>
      </c>
      <c r="E26" s="6">
        <f t="shared" si="0"/>
        <v>0</v>
      </c>
      <c r="F26" s="7">
        <f t="shared" si="1"/>
        <v>1.5203473148977143E-3</v>
      </c>
      <c r="G26" s="12">
        <f t="shared" si="2"/>
        <v>1.5203473148977143E-3</v>
      </c>
      <c r="H26" s="12">
        <f t="shared" si="3"/>
        <v>0.9984796526851023</v>
      </c>
      <c r="I26" s="5">
        <v>3.0105361955677011E-4</v>
      </c>
      <c r="J26" s="7">
        <v>5.6273427448444331E-3</v>
      </c>
      <c r="K26" s="6">
        <f t="shared" si="4"/>
        <v>3.0020655360585914E-4</v>
      </c>
      <c r="L26" s="7">
        <f t="shared" si="5"/>
        <v>5.6264956788935226E-3</v>
      </c>
      <c r="M26" s="12">
        <f t="shared" si="6"/>
        <v>5.9267022324993816E-3</v>
      </c>
      <c r="N26" s="12">
        <f t="shared" si="7"/>
        <v>0.99407329776750064</v>
      </c>
    </row>
    <row r="27" spans="2:14" x14ac:dyDescent="0.25">
      <c r="B27" s="14">
        <f t="shared" si="8"/>
        <v>21</v>
      </c>
      <c r="C27" s="5">
        <v>4.022607051630161E-5</v>
      </c>
      <c r="D27" s="7">
        <v>1.768417668100157E-3</v>
      </c>
      <c r="E27" s="6">
        <f t="shared" si="0"/>
        <v>4.0190502269391978E-5</v>
      </c>
      <c r="F27" s="7">
        <f t="shared" si="1"/>
        <v>1.7683820998532474E-3</v>
      </c>
      <c r="G27" s="12">
        <f t="shared" si="2"/>
        <v>1.8085726021226393E-3</v>
      </c>
      <c r="H27" s="12">
        <f t="shared" si="3"/>
        <v>0.99819142739787736</v>
      </c>
      <c r="I27" s="5">
        <v>3.8157524339820832E-4</v>
      </c>
      <c r="J27" s="7">
        <v>5.5766312867254492E-3</v>
      </c>
      <c r="K27" s="6">
        <f t="shared" si="4"/>
        <v>3.8051129117792117E-4</v>
      </c>
      <c r="L27" s="7">
        <f t="shared" si="5"/>
        <v>5.5755673345051623E-3</v>
      </c>
      <c r="M27" s="12">
        <f t="shared" si="6"/>
        <v>5.9560786256830835E-3</v>
      </c>
      <c r="N27" s="12">
        <f t="shared" si="7"/>
        <v>0.99404392137431696</v>
      </c>
    </row>
    <row r="28" spans="2:14" x14ac:dyDescent="0.25">
      <c r="B28" s="14">
        <f t="shared" si="8"/>
        <v>22</v>
      </c>
      <c r="C28" s="5">
        <v>4.1655384999895862E-5</v>
      </c>
      <c r="D28" s="7">
        <v>1.9143534895334805E-3</v>
      </c>
      <c r="E28" s="6">
        <f t="shared" si="0"/>
        <v>4.1615513434079656E-5</v>
      </c>
      <c r="F28" s="7">
        <f t="shared" si="1"/>
        <v>1.9143136179676642E-3</v>
      </c>
      <c r="G28" s="12">
        <f t="shared" si="2"/>
        <v>1.955929131401744E-3</v>
      </c>
      <c r="H28" s="12">
        <f t="shared" si="3"/>
        <v>0.99804407086859825</v>
      </c>
      <c r="I28" s="5">
        <v>3.3830566203264356E-4</v>
      </c>
      <c r="J28" s="7">
        <v>5.1652981200717308E-3</v>
      </c>
      <c r="K28" s="6">
        <f t="shared" si="4"/>
        <v>3.3743193723259011E-4</v>
      </c>
      <c r="L28" s="7">
        <f t="shared" si="5"/>
        <v>5.1644243952716773E-3</v>
      </c>
      <c r="M28" s="12">
        <f t="shared" si="6"/>
        <v>5.5018563325042675E-3</v>
      </c>
      <c r="N28" s="12">
        <f t="shared" si="7"/>
        <v>0.99449814366749578</v>
      </c>
    </row>
    <row r="29" spans="2:14" x14ac:dyDescent="0.25">
      <c r="B29" s="14">
        <f t="shared" si="8"/>
        <v>23</v>
      </c>
      <c r="C29" s="5">
        <v>0</v>
      </c>
      <c r="D29" s="7">
        <v>1.4351519640749056E-3</v>
      </c>
      <c r="E29" s="6">
        <f t="shared" si="0"/>
        <v>0</v>
      </c>
      <c r="F29" s="7">
        <f t="shared" si="1"/>
        <v>1.4351519640749056E-3</v>
      </c>
      <c r="G29" s="12">
        <f t="shared" si="2"/>
        <v>1.4351519640749056E-3</v>
      </c>
      <c r="H29" s="12">
        <f t="shared" si="3"/>
        <v>0.99856484803592505</v>
      </c>
      <c r="I29" s="5">
        <v>3.8784881774287135E-4</v>
      </c>
      <c r="J29" s="7">
        <v>4.9624790931194172E-3</v>
      </c>
      <c r="K29" s="6">
        <f t="shared" si="4"/>
        <v>3.8688647191820132E-4</v>
      </c>
      <c r="L29" s="7">
        <f t="shared" si="5"/>
        <v>4.9615167472947469E-3</v>
      </c>
      <c r="M29" s="12">
        <f t="shared" si="6"/>
        <v>5.348403219212948E-3</v>
      </c>
      <c r="N29" s="12">
        <f t="shared" si="7"/>
        <v>0.99465159678078707</v>
      </c>
    </row>
    <row r="30" spans="2:14" x14ac:dyDescent="0.25">
      <c r="B30" s="14">
        <f t="shared" si="8"/>
        <v>24</v>
      </c>
      <c r="C30" s="5">
        <v>9.7243156512860402E-5</v>
      </c>
      <c r="D30" s="7">
        <v>1.9915964345566268E-3</v>
      </c>
      <c r="E30" s="6">
        <f t="shared" si="0"/>
        <v>9.7146321950962371E-5</v>
      </c>
      <c r="F30" s="7">
        <f t="shared" si="1"/>
        <v>1.9914995999947287E-3</v>
      </c>
      <c r="G30" s="12">
        <f t="shared" si="2"/>
        <v>2.0886459219456909E-3</v>
      </c>
      <c r="H30" s="12">
        <f t="shared" si="3"/>
        <v>0.99791135407805431</v>
      </c>
      <c r="I30" s="5">
        <v>4.0006951014655051E-4</v>
      </c>
      <c r="J30" s="7">
        <v>4.8379577006215065E-3</v>
      </c>
      <c r="K30" s="6">
        <f t="shared" si="4"/>
        <v>3.9910175046285181E-4</v>
      </c>
      <c r="L30" s="7">
        <f t="shared" si="5"/>
        <v>4.8369899409378076E-3</v>
      </c>
      <c r="M30" s="12">
        <f t="shared" si="6"/>
        <v>5.236091691400659E-3</v>
      </c>
      <c r="N30" s="12">
        <f t="shared" si="7"/>
        <v>0.99476390830859929</v>
      </c>
    </row>
    <row r="31" spans="2:14" x14ac:dyDescent="0.25">
      <c r="B31" s="14">
        <f t="shared" si="8"/>
        <v>25</v>
      </c>
      <c r="C31" s="5">
        <v>0</v>
      </c>
      <c r="D31" s="7">
        <v>1.4953969811673442E-3</v>
      </c>
      <c r="E31" s="6">
        <f t="shared" si="0"/>
        <v>0</v>
      </c>
      <c r="F31" s="7">
        <f t="shared" si="1"/>
        <v>1.4953969811673442E-3</v>
      </c>
      <c r="G31" s="12">
        <f t="shared" si="2"/>
        <v>1.4953969811673442E-3</v>
      </c>
      <c r="H31" s="12">
        <f t="shared" si="3"/>
        <v>0.9985046030188327</v>
      </c>
      <c r="I31" s="5">
        <v>4.2986860248809161E-4</v>
      </c>
      <c r="J31" s="7">
        <v>4.5029157172301855E-3</v>
      </c>
      <c r="K31" s="6">
        <f t="shared" si="4"/>
        <v>4.2890077144484791E-4</v>
      </c>
      <c r="L31" s="7">
        <f t="shared" si="5"/>
        <v>4.5019478861869416E-3</v>
      </c>
      <c r="M31" s="12">
        <f t="shared" si="6"/>
        <v>4.9308486576317891E-3</v>
      </c>
      <c r="N31" s="12">
        <f t="shared" si="7"/>
        <v>0.99506915134236817</v>
      </c>
    </row>
    <row r="32" spans="2:14" x14ac:dyDescent="0.25">
      <c r="B32" s="14">
        <f t="shared" si="8"/>
        <v>26</v>
      </c>
      <c r="C32" s="5">
        <v>1.2075593213516612E-4</v>
      </c>
      <c r="D32" s="7">
        <v>1.20690348795108E-3</v>
      </c>
      <c r="E32" s="6">
        <f t="shared" si="0"/>
        <v>1.2068306175732377E-4</v>
      </c>
      <c r="F32" s="7">
        <f t="shared" si="1"/>
        <v>1.2068306175732377E-3</v>
      </c>
      <c r="G32" s="12">
        <f t="shared" si="2"/>
        <v>1.3275136793305614E-3</v>
      </c>
      <c r="H32" s="12">
        <f t="shared" si="3"/>
        <v>0.99867248632066941</v>
      </c>
      <c r="I32" s="5">
        <v>3.9488135049421864E-4</v>
      </c>
      <c r="J32" s="7">
        <v>4.3996508604565599E-3</v>
      </c>
      <c r="K32" s="6">
        <f t="shared" si="4"/>
        <v>3.9401268045747857E-4</v>
      </c>
      <c r="L32" s="7">
        <f t="shared" si="5"/>
        <v>4.3987821904198201E-3</v>
      </c>
      <c r="M32" s="12">
        <f t="shared" si="6"/>
        <v>4.7927948708772986E-3</v>
      </c>
      <c r="N32" s="12">
        <f t="shared" si="7"/>
        <v>0.99520720512912275</v>
      </c>
    </row>
    <row r="33" spans="2:14" x14ac:dyDescent="0.25">
      <c r="B33" s="14">
        <f t="shared" si="8"/>
        <v>27</v>
      </c>
      <c r="C33" s="5">
        <v>0</v>
      </c>
      <c r="D33" s="7">
        <v>1.5286829189798052E-3</v>
      </c>
      <c r="E33" s="6">
        <f t="shared" si="0"/>
        <v>0</v>
      </c>
      <c r="F33" s="7">
        <f t="shared" si="1"/>
        <v>1.5286829189798052E-3</v>
      </c>
      <c r="G33" s="12">
        <f t="shared" si="2"/>
        <v>1.5286829189798052E-3</v>
      </c>
      <c r="H33" s="12">
        <f t="shared" si="3"/>
        <v>0.99847131708102022</v>
      </c>
      <c r="I33" s="5">
        <v>3.9195171895518632E-4</v>
      </c>
      <c r="J33" s="7">
        <v>4.0724915823878603E-3</v>
      </c>
      <c r="K33" s="6">
        <f t="shared" si="4"/>
        <v>3.9115360891711263E-4</v>
      </c>
      <c r="L33" s="7">
        <f t="shared" si="5"/>
        <v>4.0716934723497864E-3</v>
      </c>
      <c r="M33" s="12">
        <f t="shared" si="6"/>
        <v>4.4628470812668993E-3</v>
      </c>
      <c r="N33" s="12">
        <f t="shared" si="7"/>
        <v>0.99553715291873313</v>
      </c>
    </row>
    <row r="34" spans="2:14" x14ac:dyDescent="0.25">
      <c r="B34" s="14">
        <f t="shared" si="8"/>
        <v>28</v>
      </c>
      <c r="C34" s="5">
        <v>0</v>
      </c>
      <c r="D34" s="7">
        <v>1.0059754944369555E-3</v>
      </c>
      <c r="E34" s="6">
        <f t="shared" si="0"/>
        <v>0</v>
      </c>
      <c r="F34" s="7">
        <f t="shared" si="1"/>
        <v>1.0059754944369555E-3</v>
      </c>
      <c r="G34" s="12">
        <f t="shared" si="2"/>
        <v>1.0059754944369555E-3</v>
      </c>
      <c r="H34" s="12">
        <f t="shared" si="3"/>
        <v>0.99899402450556307</v>
      </c>
      <c r="I34" s="5">
        <v>4.1062626680518866E-4</v>
      </c>
      <c r="J34" s="7">
        <v>3.64496359274737E-3</v>
      </c>
      <c r="K34" s="6">
        <f t="shared" si="4"/>
        <v>4.0987790790882332E-4</v>
      </c>
      <c r="L34" s="7">
        <f t="shared" si="5"/>
        <v>3.6442152338510047E-3</v>
      </c>
      <c r="M34" s="12">
        <f t="shared" si="6"/>
        <v>4.0540931417598278E-3</v>
      </c>
      <c r="N34" s="12">
        <f t="shared" si="7"/>
        <v>0.99594590685824014</v>
      </c>
    </row>
    <row r="35" spans="2:14" x14ac:dyDescent="0.25">
      <c r="B35" s="14">
        <f t="shared" si="8"/>
        <v>29</v>
      </c>
      <c r="C35" s="5">
        <v>0</v>
      </c>
      <c r="D35" s="7">
        <v>9.2553469749099605E-4</v>
      </c>
      <c r="E35" s="6">
        <f t="shared" si="0"/>
        <v>0</v>
      </c>
      <c r="F35" s="7">
        <f t="shared" si="1"/>
        <v>9.2553469749099605E-4</v>
      </c>
      <c r="G35" s="12">
        <f t="shared" si="2"/>
        <v>9.2553469749099605E-4</v>
      </c>
      <c r="H35" s="12">
        <f t="shared" si="3"/>
        <v>0.99907446530250898</v>
      </c>
      <c r="I35" s="5">
        <v>3.8917837033101787E-4</v>
      </c>
      <c r="J35" s="7">
        <v>3.3493811663618503E-3</v>
      </c>
      <c r="K35" s="6">
        <f t="shared" si="4"/>
        <v>3.8852661697904683E-4</v>
      </c>
      <c r="L35" s="7">
        <f t="shared" si="5"/>
        <v>3.3487294130098793E-3</v>
      </c>
      <c r="M35" s="12">
        <f t="shared" si="6"/>
        <v>3.7372560299889263E-3</v>
      </c>
      <c r="N35" s="12">
        <f t="shared" si="7"/>
        <v>0.99626274397001102</v>
      </c>
    </row>
    <row r="36" spans="2:14" x14ac:dyDescent="0.25">
      <c r="B36" s="14">
        <f t="shared" si="8"/>
        <v>30</v>
      </c>
      <c r="C36" s="5">
        <v>4.0258459308762261E-5</v>
      </c>
      <c r="D36" s="7">
        <v>6.0370675950335059E-4</v>
      </c>
      <c r="E36" s="6">
        <f t="shared" si="0"/>
        <v>4.0246307156756315E-5</v>
      </c>
      <c r="F36" s="7">
        <f t="shared" si="1"/>
        <v>6.0369460735134467E-4</v>
      </c>
      <c r="G36" s="12">
        <f t="shared" si="2"/>
        <v>6.4394091450810094E-4</v>
      </c>
      <c r="H36" s="12">
        <f t="shared" si="3"/>
        <v>0.99935605908549185</v>
      </c>
      <c r="I36" s="5">
        <v>3.6770442743940213E-4</v>
      </c>
      <c r="J36" s="7">
        <v>3.0241313337036353E-3</v>
      </c>
      <c r="K36" s="6">
        <f t="shared" si="4"/>
        <v>3.6714843419912162E-4</v>
      </c>
      <c r="L36" s="7">
        <f t="shared" si="5"/>
        <v>3.0235753404633547E-3</v>
      </c>
      <c r="M36" s="12">
        <f t="shared" si="6"/>
        <v>3.3907237746624765E-3</v>
      </c>
      <c r="N36" s="12">
        <f t="shared" si="7"/>
        <v>0.99660927622533757</v>
      </c>
    </row>
    <row r="37" spans="2:14" x14ac:dyDescent="0.25">
      <c r="B37" s="14">
        <f t="shared" si="8"/>
        <v>31</v>
      </c>
      <c r="C37" s="5">
        <v>0</v>
      </c>
      <c r="D37" s="7">
        <v>5.6349366069631719E-4</v>
      </c>
      <c r="E37" s="6">
        <f t="shared" si="0"/>
        <v>0</v>
      </c>
      <c r="F37" s="7">
        <f t="shared" si="1"/>
        <v>5.6349366069631719E-4</v>
      </c>
      <c r="G37" s="12">
        <f t="shared" si="2"/>
        <v>5.6349366069631719E-4</v>
      </c>
      <c r="H37" s="12">
        <f t="shared" si="3"/>
        <v>0.9994365063393037</v>
      </c>
      <c r="I37" s="5">
        <v>3.1684478237786599E-4</v>
      </c>
      <c r="J37" s="7">
        <v>2.7601281885037882E-3</v>
      </c>
      <c r="K37" s="6">
        <f t="shared" si="4"/>
        <v>3.1640751627025527E-4</v>
      </c>
      <c r="L37" s="7">
        <f t="shared" si="5"/>
        <v>2.7596909223961776E-3</v>
      </c>
      <c r="M37" s="12">
        <f t="shared" si="6"/>
        <v>3.0760984386664328E-3</v>
      </c>
      <c r="N37" s="12">
        <f t="shared" si="7"/>
        <v>0.99692390156133359</v>
      </c>
    </row>
    <row r="38" spans="2:14" x14ac:dyDescent="0.25">
      <c r="B38" s="14">
        <f t="shared" si="8"/>
        <v>32</v>
      </c>
      <c r="C38" s="5">
        <v>0</v>
      </c>
      <c r="D38" s="7">
        <v>6.8420099410379726E-4</v>
      </c>
      <c r="E38" s="6">
        <f t="shared" si="0"/>
        <v>0</v>
      </c>
      <c r="F38" s="7">
        <f t="shared" si="1"/>
        <v>6.8420099410379726E-4</v>
      </c>
      <c r="G38" s="12">
        <f t="shared" si="2"/>
        <v>6.8420099410379726E-4</v>
      </c>
      <c r="H38" s="12">
        <f t="shared" si="3"/>
        <v>0.99931579900589618</v>
      </c>
      <c r="I38" s="5">
        <v>2.8757401938805488E-4</v>
      </c>
      <c r="J38" s="7">
        <v>2.5620573057627757E-3</v>
      </c>
      <c r="K38" s="6">
        <f t="shared" si="4"/>
        <v>2.8720562882939449E-4</v>
      </c>
      <c r="L38" s="7">
        <f t="shared" si="5"/>
        <v>2.5616889152041155E-3</v>
      </c>
      <c r="M38" s="12">
        <f t="shared" si="6"/>
        <v>2.8488945440335099E-3</v>
      </c>
      <c r="N38" s="12">
        <f t="shared" si="7"/>
        <v>0.99715110545596652</v>
      </c>
    </row>
    <row r="39" spans="2:14" x14ac:dyDescent="0.25">
      <c r="B39" s="14">
        <f t="shared" si="8"/>
        <v>33</v>
      </c>
      <c r="C39" s="5">
        <v>4.0260080117559435E-5</v>
      </c>
      <c r="D39" s="7">
        <v>4.8301400740621484E-4</v>
      </c>
      <c r="E39" s="6">
        <f t="shared" si="0"/>
        <v>4.0250357026241398E-5</v>
      </c>
      <c r="F39" s="7">
        <f t="shared" si="1"/>
        <v>4.8300428431489681E-4</v>
      </c>
      <c r="G39" s="12">
        <f t="shared" si="2"/>
        <v>5.232546413411382E-4</v>
      </c>
      <c r="H39" s="12">
        <f t="shared" si="3"/>
        <v>0.99947674535865882</v>
      </c>
      <c r="I39" s="5">
        <v>2.7064708625213326E-4</v>
      </c>
      <c r="J39" s="7">
        <v>2.1785617166448297E-3</v>
      </c>
      <c r="K39" s="6">
        <f t="shared" si="4"/>
        <v>2.703522755617181E-4</v>
      </c>
      <c r="L39" s="7">
        <f t="shared" si="5"/>
        <v>2.1782669059544147E-3</v>
      </c>
      <c r="M39" s="12">
        <f t="shared" si="6"/>
        <v>2.4486191815161328E-3</v>
      </c>
      <c r="N39" s="12">
        <f t="shared" si="7"/>
        <v>0.99755138081848382</v>
      </c>
    </row>
    <row r="40" spans="2:14" x14ac:dyDescent="0.25">
      <c r="B40" s="14">
        <f t="shared" si="8"/>
        <v>34</v>
      </c>
      <c r="C40" s="5">
        <v>0</v>
      </c>
      <c r="D40" s="7">
        <v>6.0375535832880519E-4</v>
      </c>
      <c r="E40" s="6">
        <f t="shared" si="0"/>
        <v>0</v>
      </c>
      <c r="F40" s="7">
        <f t="shared" si="1"/>
        <v>6.0375535832880519E-4</v>
      </c>
      <c r="G40" s="12">
        <f t="shared" si="2"/>
        <v>6.0375535832880519E-4</v>
      </c>
      <c r="H40" s="12">
        <f t="shared" si="3"/>
        <v>0.99939624464167121</v>
      </c>
      <c r="I40" s="5">
        <v>2.0575415472557734E-4</v>
      </c>
      <c r="J40" s="7">
        <v>1.8734291482080309E-3</v>
      </c>
      <c r="K40" s="6">
        <f t="shared" si="4"/>
        <v>2.0556142181016342E-4</v>
      </c>
      <c r="L40" s="7">
        <f t="shared" si="5"/>
        <v>1.873236415292617E-3</v>
      </c>
      <c r="M40" s="12">
        <f t="shared" si="6"/>
        <v>2.0787978371027806E-3</v>
      </c>
      <c r="N40" s="12">
        <f t="shared" si="7"/>
        <v>0.99792120216289726</v>
      </c>
    </row>
    <row r="41" spans="2:14" x14ac:dyDescent="0.25">
      <c r="B41" s="14">
        <f t="shared" si="8"/>
        <v>35</v>
      </c>
      <c r="C41" s="5">
        <v>0</v>
      </c>
      <c r="D41" s="7">
        <v>3.2204822672195161E-4</v>
      </c>
      <c r="E41" s="6">
        <f t="shared" si="0"/>
        <v>0</v>
      </c>
      <c r="F41" s="7">
        <f t="shared" si="1"/>
        <v>3.2204822672195161E-4</v>
      </c>
      <c r="G41" s="12">
        <f t="shared" si="2"/>
        <v>3.2204822672195161E-4</v>
      </c>
      <c r="H41" s="12">
        <f t="shared" si="3"/>
        <v>0.99967795177327801</v>
      </c>
      <c r="I41" s="5">
        <v>1.7330512998658433E-4</v>
      </c>
      <c r="J41" s="7">
        <v>1.5354890486230467E-3</v>
      </c>
      <c r="K41" s="6">
        <f t="shared" si="4"/>
        <v>1.7317207592200203E-4</v>
      </c>
      <c r="L41" s="7">
        <f t="shared" si="5"/>
        <v>1.5353559945584644E-3</v>
      </c>
      <c r="M41" s="12">
        <f t="shared" si="6"/>
        <v>1.7085280704804665E-3</v>
      </c>
      <c r="N41" s="12">
        <f t="shared" si="7"/>
        <v>0.9982914719295195</v>
      </c>
    </row>
    <row r="42" spans="2:14" x14ac:dyDescent="0.25">
      <c r="B42" s="14">
        <f t="shared" si="8"/>
        <v>36</v>
      </c>
      <c r="C42" s="5">
        <v>0</v>
      </c>
      <c r="D42" s="7">
        <v>4.8303345006641703E-4</v>
      </c>
      <c r="E42" s="6">
        <f t="shared" si="0"/>
        <v>0</v>
      </c>
      <c r="F42" s="7">
        <f t="shared" si="1"/>
        <v>4.8303345006641703E-4</v>
      </c>
      <c r="G42" s="12">
        <f t="shared" si="2"/>
        <v>4.8303345006641703E-4</v>
      </c>
      <c r="H42" s="12">
        <f t="shared" si="3"/>
        <v>0.99951696654993361</v>
      </c>
      <c r="I42" s="5">
        <v>1.8416762039184372E-4</v>
      </c>
      <c r="J42" s="7">
        <v>1.4832102609073567E-3</v>
      </c>
      <c r="K42" s="6">
        <f t="shared" si="4"/>
        <v>1.8403104073969769E-4</v>
      </c>
      <c r="L42" s="7">
        <f t="shared" si="5"/>
        <v>1.4830736812552108E-3</v>
      </c>
      <c r="M42" s="12">
        <f t="shared" si="6"/>
        <v>1.6671047219949085E-3</v>
      </c>
      <c r="N42" s="12">
        <f t="shared" si="7"/>
        <v>0.99833289527800506</v>
      </c>
    </row>
    <row r="43" spans="2:14" x14ac:dyDescent="0.25">
      <c r="B43" s="14">
        <f t="shared" si="8"/>
        <v>37</v>
      </c>
      <c r="C43" s="5">
        <v>0</v>
      </c>
      <c r="D43" s="7">
        <v>3.2204822672195161E-4</v>
      </c>
      <c r="E43" s="6">
        <f t="shared" si="0"/>
        <v>0</v>
      </c>
      <c r="F43" s="7">
        <f t="shared" si="1"/>
        <v>3.2204822672195161E-4</v>
      </c>
      <c r="G43" s="12">
        <f t="shared" si="2"/>
        <v>3.2204822672195161E-4</v>
      </c>
      <c r="H43" s="12">
        <f t="shared" si="3"/>
        <v>0.99967795177327801</v>
      </c>
      <c r="I43" s="5">
        <v>1.6717593409553176E-4</v>
      </c>
      <c r="J43" s="7">
        <v>1.3984629283566204E-3</v>
      </c>
      <c r="K43" s="6">
        <f t="shared" si="4"/>
        <v>1.6705903942235877E-4</v>
      </c>
      <c r="L43" s="7">
        <f t="shared" si="5"/>
        <v>1.3983460336834473E-3</v>
      </c>
      <c r="M43" s="12">
        <f t="shared" si="6"/>
        <v>1.5654050731058061E-3</v>
      </c>
      <c r="N43" s="12">
        <f t="shared" si="7"/>
        <v>0.99843459492689424</v>
      </c>
    </row>
    <row r="44" spans="2:14" x14ac:dyDescent="0.25">
      <c r="B44" s="14">
        <f t="shared" si="8"/>
        <v>38</v>
      </c>
      <c r="C44" s="5">
        <v>0</v>
      </c>
      <c r="D44" s="7">
        <v>2.8179787041323641E-4</v>
      </c>
      <c r="E44" s="6">
        <f t="shared" si="0"/>
        <v>0</v>
      </c>
      <c r="F44" s="7">
        <f t="shared" si="1"/>
        <v>2.8179787041323641E-4</v>
      </c>
      <c r="G44" s="12">
        <f t="shared" si="2"/>
        <v>2.8179787041323641E-4</v>
      </c>
      <c r="H44" s="12">
        <f t="shared" si="3"/>
        <v>0.99971820212958673</v>
      </c>
      <c r="I44" s="5">
        <v>1.5481937223840944E-4</v>
      </c>
      <c r="J44" s="7">
        <v>1.2780897355158857E-3</v>
      </c>
      <c r="K44" s="6">
        <f t="shared" si="4"/>
        <v>1.5472043571315098E-4</v>
      </c>
      <c r="L44" s="7">
        <f t="shared" si="5"/>
        <v>1.2779907989906272E-3</v>
      </c>
      <c r="M44" s="12">
        <f t="shared" si="6"/>
        <v>1.4327112347037783E-3</v>
      </c>
      <c r="N44" s="12">
        <f t="shared" si="7"/>
        <v>0.99856728876529621</v>
      </c>
    </row>
    <row r="45" spans="2:14" x14ac:dyDescent="0.25">
      <c r="B45" s="14">
        <f t="shared" si="8"/>
        <v>39</v>
      </c>
      <c r="C45" s="5">
        <v>0</v>
      </c>
      <c r="D45" s="7">
        <v>3.6229696274379567E-4</v>
      </c>
      <c r="E45" s="6">
        <f t="shared" si="0"/>
        <v>0</v>
      </c>
      <c r="F45" s="7">
        <f t="shared" si="1"/>
        <v>3.6229696274379567E-4</v>
      </c>
      <c r="G45" s="12">
        <f t="shared" si="2"/>
        <v>3.6229696274379567E-4</v>
      </c>
      <c r="H45" s="12">
        <f t="shared" si="3"/>
        <v>0.99963770303725619</v>
      </c>
      <c r="I45" s="5">
        <v>1.2852166790155862E-4</v>
      </c>
      <c r="J45" s="7">
        <v>1.1452732714885767E-3</v>
      </c>
      <c r="K45" s="6">
        <f t="shared" si="4"/>
        <v>1.2844807168603122E-4</v>
      </c>
      <c r="L45" s="7">
        <f t="shared" si="5"/>
        <v>1.1451996752730492E-3</v>
      </c>
      <c r="M45" s="12">
        <f t="shared" si="6"/>
        <v>1.2736477469590805E-3</v>
      </c>
      <c r="N45" s="12">
        <f t="shared" si="7"/>
        <v>0.99872635225304096</v>
      </c>
    </row>
    <row r="46" spans="2:14" x14ac:dyDescent="0.25">
      <c r="B46" s="14">
        <f t="shared" si="8"/>
        <v>40</v>
      </c>
      <c r="C46" s="5">
        <v>0</v>
      </c>
      <c r="D46" s="7">
        <v>3.6229696274379567E-4</v>
      </c>
      <c r="E46" s="6">
        <f t="shared" si="0"/>
        <v>0</v>
      </c>
      <c r="F46" s="7">
        <f t="shared" si="1"/>
        <v>3.6229696274379567E-4</v>
      </c>
      <c r="G46" s="12">
        <f t="shared" si="2"/>
        <v>3.6229696274379567E-4</v>
      </c>
      <c r="H46" s="12">
        <f t="shared" si="3"/>
        <v>0.99963770303725619</v>
      </c>
      <c r="I46" s="5">
        <v>1.4402360128692058E-4</v>
      </c>
      <c r="J46" s="7">
        <v>9.5357660888962495E-4</v>
      </c>
      <c r="K46" s="6">
        <f t="shared" si="4"/>
        <v>1.4395493251826295E-4</v>
      </c>
      <c r="L46" s="7">
        <f t="shared" si="5"/>
        <v>9.5350794012096732E-4</v>
      </c>
      <c r="M46" s="12">
        <f t="shared" si="6"/>
        <v>1.0974628726392302E-3</v>
      </c>
      <c r="N46" s="12">
        <f t="shared" si="7"/>
        <v>0.99890253712736077</v>
      </c>
    </row>
    <row r="47" spans="2:14" x14ac:dyDescent="0.25">
      <c r="B47" s="14">
        <f t="shared" si="8"/>
        <v>41</v>
      </c>
      <c r="C47" s="5">
        <v>0</v>
      </c>
      <c r="D47" s="7">
        <v>4.0254407857660417E-4</v>
      </c>
      <c r="E47" s="6">
        <f t="shared" si="0"/>
        <v>0</v>
      </c>
      <c r="F47" s="7">
        <f t="shared" si="1"/>
        <v>4.0254407857660417E-4</v>
      </c>
      <c r="G47" s="12">
        <f t="shared" si="2"/>
        <v>4.0254407857660417E-4</v>
      </c>
      <c r="H47" s="12">
        <f t="shared" si="3"/>
        <v>0.99959745592142335</v>
      </c>
      <c r="I47" s="5">
        <v>1.1306881941438098E-4</v>
      </c>
      <c r="J47" s="7">
        <v>8.5157378577190523E-4</v>
      </c>
      <c r="K47" s="6">
        <f t="shared" si="4"/>
        <v>1.1302067619308025E-4</v>
      </c>
      <c r="L47" s="7">
        <f t="shared" si="5"/>
        <v>8.5152564255060452E-4</v>
      </c>
      <c r="M47" s="12">
        <f t="shared" si="6"/>
        <v>9.6454631874368481E-4</v>
      </c>
      <c r="N47" s="12">
        <f t="shared" si="7"/>
        <v>0.99903545368125635</v>
      </c>
    </row>
    <row r="48" spans="2:14" x14ac:dyDescent="0.25">
      <c r="B48" s="14">
        <f t="shared" si="8"/>
        <v>42</v>
      </c>
      <c r="C48" s="5">
        <v>0</v>
      </c>
      <c r="D48" s="7">
        <v>2.4154589371980676E-4</v>
      </c>
      <c r="E48" s="6">
        <f t="shared" si="0"/>
        <v>0</v>
      </c>
      <c r="F48" s="7">
        <f t="shared" si="1"/>
        <v>2.4154589371980676E-4</v>
      </c>
      <c r="G48" s="12">
        <f t="shared" si="2"/>
        <v>2.4154589371980676E-4</v>
      </c>
      <c r="H48" s="12">
        <f t="shared" si="3"/>
        <v>0.99975845410628017</v>
      </c>
      <c r="I48" s="5">
        <v>8.6748675146349665E-5</v>
      </c>
      <c r="J48" s="7">
        <v>7.7427547172733118E-4</v>
      </c>
      <c r="K48" s="6">
        <f t="shared" si="4"/>
        <v>8.6715091460664331E-5</v>
      </c>
      <c r="L48" s="7">
        <f t="shared" si="5"/>
        <v>7.7424188804164581E-4</v>
      </c>
      <c r="M48" s="12">
        <f t="shared" si="6"/>
        <v>8.6095697950231017E-4</v>
      </c>
      <c r="N48" s="12">
        <f t="shared" si="7"/>
        <v>0.99913904302049772</v>
      </c>
    </row>
    <row r="49" spans="2:14" x14ac:dyDescent="0.25">
      <c r="B49" s="14">
        <f t="shared" si="8"/>
        <v>43</v>
      </c>
      <c r="C49" s="5">
        <v>0</v>
      </c>
      <c r="D49" s="7">
        <v>3.2204822672195161E-4</v>
      </c>
      <c r="E49" s="6">
        <f t="shared" si="0"/>
        <v>0</v>
      </c>
      <c r="F49" s="7">
        <f t="shared" si="1"/>
        <v>3.2204822672195161E-4</v>
      </c>
      <c r="G49" s="12">
        <f t="shared" si="2"/>
        <v>3.2204822672195161E-4</v>
      </c>
      <c r="H49" s="12">
        <f t="shared" si="3"/>
        <v>0.99967795177327801</v>
      </c>
      <c r="I49" s="5">
        <v>8.9854497682373635E-5</v>
      </c>
      <c r="J49" s="7">
        <v>7.139654586298832E-4</v>
      </c>
      <c r="K49" s="6">
        <f t="shared" si="4"/>
        <v>8.9822421178549754E-5</v>
      </c>
      <c r="L49" s="7">
        <f t="shared" si="5"/>
        <v>7.1393338212605935E-4</v>
      </c>
      <c r="M49" s="12">
        <f t="shared" si="6"/>
        <v>8.037558033046091E-4</v>
      </c>
      <c r="N49" s="12">
        <f t="shared" si="7"/>
        <v>0.99919624419669539</v>
      </c>
    </row>
    <row r="50" spans="2:14" x14ac:dyDescent="0.25">
      <c r="B50" s="14">
        <f t="shared" si="8"/>
        <v>44</v>
      </c>
      <c r="C50" s="5">
        <v>0</v>
      </c>
      <c r="D50" s="7">
        <v>2.4154589371980676E-4</v>
      </c>
      <c r="E50" s="6">
        <f t="shared" si="0"/>
        <v>0</v>
      </c>
      <c r="F50" s="7">
        <f t="shared" si="1"/>
        <v>2.4154589371980676E-4</v>
      </c>
      <c r="G50" s="12">
        <f t="shared" si="2"/>
        <v>2.4154589371980676E-4</v>
      </c>
      <c r="H50" s="12">
        <f t="shared" si="3"/>
        <v>0.99975845410628017</v>
      </c>
      <c r="I50" s="5">
        <v>7.2820291141721446E-5</v>
      </c>
      <c r="J50" s="7">
        <v>6.040929621620952E-4</v>
      </c>
      <c r="K50" s="6">
        <f t="shared" si="4"/>
        <v>7.27982960290308E-5</v>
      </c>
      <c r="L50" s="7">
        <f t="shared" si="5"/>
        <v>6.0407096704940448E-4</v>
      </c>
      <c r="M50" s="12">
        <f t="shared" si="6"/>
        <v>6.7686926307843531E-4</v>
      </c>
      <c r="N50" s="12">
        <f t="shared" si="7"/>
        <v>0.99932313073692158</v>
      </c>
    </row>
    <row r="51" spans="2:14" x14ac:dyDescent="0.25">
      <c r="B51" s="14">
        <f t="shared" si="8"/>
        <v>45</v>
      </c>
      <c r="C51" s="5">
        <v>0</v>
      </c>
      <c r="D51" s="7">
        <v>2.4154589371980676E-4</v>
      </c>
      <c r="E51" s="6">
        <f t="shared" si="0"/>
        <v>0</v>
      </c>
      <c r="F51" s="7">
        <f t="shared" si="1"/>
        <v>2.4154589371980676E-4</v>
      </c>
      <c r="G51" s="12">
        <f t="shared" si="2"/>
        <v>2.4154589371980676E-4</v>
      </c>
      <c r="H51" s="12">
        <f t="shared" si="3"/>
        <v>0.99975845410628017</v>
      </c>
      <c r="I51" s="5">
        <v>4.3386099093850327E-5</v>
      </c>
      <c r="J51" s="7">
        <v>5.2360644004938639E-4</v>
      </c>
      <c r="K51" s="6">
        <f t="shared" si="4"/>
        <v>4.3374740473403251E-5</v>
      </c>
      <c r="L51" s="7">
        <f t="shared" si="5"/>
        <v>5.2359508142893929E-4</v>
      </c>
      <c r="M51" s="12">
        <f t="shared" si="6"/>
        <v>5.6696982190234258E-4</v>
      </c>
      <c r="N51" s="12">
        <f t="shared" si="7"/>
        <v>0.9994330301780977</v>
      </c>
    </row>
    <row r="52" spans="2:14" x14ac:dyDescent="0.25">
      <c r="B52" s="14">
        <f t="shared" si="8"/>
        <v>46</v>
      </c>
      <c r="C52" s="5">
        <v>0</v>
      </c>
      <c r="D52" s="7">
        <v>1.207802403526783E-4</v>
      </c>
      <c r="E52" s="6">
        <f t="shared" si="0"/>
        <v>0</v>
      </c>
      <c r="F52" s="7">
        <f t="shared" si="1"/>
        <v>1.207802403526783E-4</v>
      </c>
      <c r="G52" s="12">
        <f t="shared" si="2"/>
        <v>1.207802403526783E-4</v>
      </c>
      <c r="H52" s="12">
        <f t="shared" si="3"/>
        <v>0.99987921975964733</v>
      </c>
      <c r="I52" s="5">
        <v>6.3531761619533078E-5</v>
      </c>
      <c r="J52" s="7">
        <v>4.4928432106167431E-4</v>
      </c>
      <c r="K52" s="6">
        <f t="shared" si="4"/>
        <v>6.3517489707340537E-5</v>
      </c>
      <c r="L52" s="7">
        <f t="shared" si="5"/>
        <v>4.4927004914948178E-4</v>
      </c>
      <c r="M52" s="12">
        <f t="shared" si="6"/>
        <v>5.1278753885682234E-4</v>
      </c>
      <c r="N52" s="12">
        <f t="shared" si="7"/>
        <v>0.99948721246114314</v>
      </c>
    </row>
    <row r="53" spans="2:14" x14ac:dyDescent="0.25">
      <c r="B53" s="14">
        <f t="shared" si="8"/>
        <v>47</v>
      </c>
      <c r="C53" s="5">
        <v>0</v>
      </c>
      <c r="D53" s="7">
        <v>4.0261701056869654E-5</v>
      </c>
      <c r="E53" s="6">
        <f t="shared" si="0"/>
        <v>0</v>
      </c>
      <c r="F53" s="7">
        <f t="shared" si="1"/>
        <v>4.0261701056869654E-5</v>
      </c>
      <c r="G53" s="12">
        <f t="shared" si="2"/>
        <v>4.0261701056869654E-5</v>
      </c>
      <c r="H53" s="12">
        <f t="shared" si="3"/>
        <v>0.99995973829894313</v>
      </c>
      <c r="I53" s="5">
        <v>3.7192176625646799E-5</v>
      </c>
      <c r="J53" s="7">
        <v>3.3003223624730109E-4</v>
      </c>
      <c r="K53" s="6">
        <f t="shared" si="4"/>
        <v>3.7186039317035467E-5</v>
      </c>
      <c r="L53" s="7">
        <f t="shared" si="5"/>
        <v>3.3002609893868979E-4</v>
      </c>
      <c r="M53" s="12">
        <f t="shared" si="6"/>
        <v>3.6721213825572523E-4</v>
      </c>
      <c r="N53" s="12">
        <f t="shared" si="7"/>
        <v>0.99963278786174425</v>
      </c>
    </row>
    <row r="54" spans="2:14" x14ac:dyDescent="0.25">
      <c r="B54" s="14">
        <f t="shared" si="8"/>
        <v>48</v>
      </c>
      <c r="C54" s="5">
        <v>4.0261701056869654E-5</v>
      </c>
      <c r="D54" s="7">
        <v>4.0261701056869654E-5</v>
      </c>
      <c r="E54" s="6">
        <f t="shared" si="0"/>
        <v>4.026089055458366E-5</v>
      </c>
      <c r="F54" s="7">
        <f t="shared" si="1"/>
        <v>4.026089055458366E-5</v>
      </c>
      <c r="G54" s="12">
        <f t="shared" si="2"/>
        <v>8.0521781109167321E-5</v>
      </c>
      <c r="H54" s="12">
        <f t="shared" si="3"/>
        <v>0.99991947821889082</v>
      </c>
      <c r="I54" s="5">
        <v>2.16964114135522E-5</v>
      </c>
      <c r="J54" s="7">
        <v>2.8976322315874448E-4</v>
      </c>
      <c r="K54" s="6">
        <f t="shared" si="4"/>
        <v>2.1693268002501116E-5</v>
      </c>
      <c r="L54" s="7">
        <f t="shared" si="5"/>
        <v>2.8976007974769338E-4</v>
      </c>
      <c r="M54" s="12">
        <f t="shared" si="6"/>
        <v>3.1145334775019447E-4</v>
      </c>
      <c r="N54" s="12">
        <f t="shared" si="7"/>
        <v>0.99968854665224982</v>
      </c>
    </row>
    <row r="55" spans="2:14" x14ac:dyDescent="0.25">
      <c r="B55" s="14">
        <f t="shared" si="8"/>
        <v>49</v>
      </c>
      <c r="C55" s="5">
        <v>0</v>
      </c>
      <c r="D55" s="7">
        <v>1.2078510317060894E-4</v>
      </c>
      <c r="E55" s="6">
        <f t="shared" si="0"/>
        <v>0</v>
      </c>
      <c r="F55" s="7">
        <f t="shared" si="1"/>
        <v>1.2078510317060894E-4</v>
      </c>
      <c r="G55" s="12">
        <f t="shared" si="2"/>
        <v>1.2078510317060894E-4</v>
      </c>
      <c r="H55" s="12">
        <f t="shared" si="3"/>
        <v>0.9998792148968294</v>
      </c>
      <c r="I55" s="5">
        <v>1.3948049713948748E-5</v>
      </c>
      <c r="J55" s="7">
        <v>2.4483749298804012E-4</v>
      </c>
      <c r="K55" s="6">
        <f t="shared" si="4"/>
        <v>1.3946342211186731E-5</v>
      </c>
      <c r="L55" s="7">
        <f t="shared" si="5"/>
        <v>2.4483578548527811E-4</v>
      </c>
      <c r="M55" s="12">
        <f t="shared" si="6"/>
        <v>2.5878212769646483E-4</v>
      </c>
      <c r="N55" s="12">
        <f t="shared" si="7"/>
        <v>0.99974121787230352</v>
      </c>
    </row>
    <row r="56" spans="2:14" x14ac:dyDescent="0.25">
      <c r="B56" s="14">
        <f t="shared" si="8"/>
        <v>50</v>
      </c>
      <c r="C56" s="5">
        <v>0</v>
      </c>
      <c r="D56" s="7">
        <v>0</v>
      </c>
      <c r="E56" s="6">
        <f t="shared" si="0"/>
        <v>0</v>
      </c>
      <c r="F56" s="7">
        <f t="shared" si="1"/>
        <v>0</v>
      </c>
      <c r="G56" s="12">
        <f t="shared" si="2"/>
        <v>0</v>
      </c>
      <c r="H56" s="12">
        <f t="shared" si="3"/>
        <v>1</v>
      </c>
      <c r="I56" s="5">
        <v>9.2988511269432652E-6</v>
      </c>
      <c r="J56" s="7">
        <v>1.9990624552051171E-4</v>
      </c>
      <c r="K56" s="6">
        <f t="shared" si="4"/>
        <v>9.2979216777350443E-6</v>
      </c>
      <c r="L56" s="7">
        <f t="shared" si="5"/>
        <v>1.9990531607130349E-4</v>
      </c>
      <c r="M56" s="12">
        <f t="shared" si="6"/>
        <v>2.0920323774903854E-4</v>
      </c>
      <c r="N56" s="12">
        <f t="shared" si="7"/>
        <v>0.99979079676225091</v>
      </c>
    </row>
    <row r="57" spans="2:14" x14ac:dyDescent="0.25">
      <c r="B57" s="14">
        <f t="shared" si="8"/>
        <v>51</v>
      </c>
      <c r="C57" s="5">
        <v>0</v>
      </c>
      <c r="D57" s="7">
        <v>8.0525023150944153E-5</v>
      </c>
      <c r="E57" s="6">
        <f t="shared" si="0"/>
        <v>0</v>
      </c>
      <c r="F57" s="7">
        <f t="shared" si="1"/>
        <v>8.0525023150944153E-5</v>
      </c>
      <c r="G57" s="12">
        <f t="shared" si="2"/>
        <v>8.0525023150944153E-5</v>
      </c>
      <c r="H57" s="12">
        <f t="shared" si="3"/>
        <v>0.99991947497684908</v>
      </c>
      <c r="I57" s="5">
        <v>1.7047986206629346E-5</v>
      </c>
      <c r="J57" s="7">
        <v>1.3172688522481517E-4</v>
      </c>
      <c r="K57" s="6">
        <f t="shared" si="4"/>
        <v>1.7046863367568169E-5</v>
      </c>
      <c r="L57" s="7">
        <f t="shared" si="5"/>
        <v>1.3172576238575399E-4</v>
      </c>
      <c r="M57" s="12">
        <f t="shared" si="6"/>
        <v>1.4877262575332216E-4</v>
      </c>
      <c r="N57" s="12">
        <f t="shared" si="7"/>
        <v>0.9998512273742467</v>
      </c>
    </row>
    <row r="58" spans="2:14" x14ac:dyDescent="0.25">
      <c r="B58" s="14">
        <f t="shared" si="8"/>
        <v>52</v>
      </c>
      <c r="C58" s="5">
        <v>0</v>
      </c>
      <c r="D58" s="7">
        <v>4.0263322126708673E-5</v>
      </c>
      <c r="E58" s="6">
        <f t="shared" si="0"/>
        <v>0</v>
      </c>
      <c r="F58" s="7">
        <f t="shared" si="1"/>
        <v>4.0263322126708673E-5</v>
      </c>
      <c r="G58" s="12">
        <f t="shared" si="2"/>
        <v>4.0263322126708673E-5</v>
      </c>
      <c r="H58" s="12">
        <f t="shared" si="3"/>
        <v>0.9999597366778733</v>
      </c>
      <c r="I58" s="5">
        <v>1.3948611764414147E-5</v>
      </c>
      <c r="J58" s="7">
        <v>1.2243117314634941E-4</v>
      </c>
      <c r="K58" s="6">
        <f t="shared" si="4"/>
        <v>1.3947757891963108E-5</v>
      </c>
      <c r="L58" s="7">
        <f t="shared" si="5"/>
        <v>1.2243031927389837E-4</v>
      </c>
      <c r="M58" s="12">
        <f t="shared" si="6"/>
        <v>1.3637807716586147E-4</v>
      </c>
      <c r="N58" s="12">
        <f t="shared" si="7"/>
        <v>0.99986362192283418</v>
      </c>
    </row>
    <row r="59" spans="2:14" x14ac:dyDescent="0.25">
      <c r="B59" s="14">
        <f t="shared" si="8"/>
        <v>53</v>
      </c>
      <c r="C59" s="5">
        <v>0</v>
      </c>
      <c r="D59" s="7">
        <v>4.0263322126708673E-5</v>
      </c>
      <c r="E59" s="6">
        <f t="shared" si="0"/>
        <v>0</v>
      </c>
      <c r="F59" s="7">
        <f t="shared" si="1"/>
        <v>4.0263322126708673E-5</v>
      </c>
      <c r="G59" s="12">
        <f t="shared" si="2"/>
        <v>4.0263322126708673E-5</v>
      </c>
      <c r="H59" s="12">
        <f t="shared" si="3"/>
        <v>0.9999597366778733</v>
      </c>
      <c r="I59" s="5">
        <v>3.0997515549128734E-6</v>
      </c>
      <c r="J59" s="7">
        <v>1.0693587644411865E-4</v>
      </c>
      <c r="K59" s="6">
        <f t="shared" si="4"/>
        <v>3.0995858175882318E-6</v>
      </c>
      <c r="L59" s="7">
        <f t="shared" si="5"/>
        <v>1.06935710706794E-4</v>
      </c>
      <c r="M59" s="12">
        <f t="shared" si="6"/>
        <v>1.1003529652438224E-4</v>
      </c>
      <c r="N59" s="12">
        <f t="shared" si="7"/>
        <v>0.99988996470347558</v>
      </c>
    </row>
    <row r="60" spans="2:14" x14ac:dyDescent="0.25">
      <c r="B60" s="14">
        <f t="shared" si="8"/>
        <v>54</v>
      </c>
      <c r="C60" s="5">
        <v>0</v>
      </c>
      <c r="D60" s="7">
        <v>4.0263322126708673E-5</v>
      </c>
      <c r="E60" s="6">
        <f t="shared" si="0"/>
        <v>0</v>
      </c>
      <c r="F60" s="7">
        <f t="shared" si="1"/>
        <v>4.0263322126708673E-5</v>
      </c>
      <c r="G60" s="12">
        <f t="shared" si="2"/>
        <v>4.0263322126708673E-5</v>
      </c>
      <c r="H60" s="12">
        <f t="shared" si="3"/>
        <v>0.9999597366778733</v>
      </c>
      <c r="I60" s="5">
        <v>9.2992546647386211E-6</v>
      </c>
      <c r="J60" s="7">
        <v>8.3690178957499325E-5</v>
      </c>
      <c r="K60" s="6">
        <f t="shared" si="4"/>
        <v>9.2988655365950884E-6</v>
      </c>
      <c r="L60" s="7">
        <f t="shared" si="5"/>
        <v>8.3689789829355799E-5</v>
      </c>
      <c r="M60" s="12">
        <f t="shared" si="6"/>
        <v>9.2988655365950891E-5</v>
      </c>
      <c r="N60" s="12">
        <f t="shared" si="7"/>
        <v>0.999907011344634</v>
      </c>
    </row>
    <row r="61" spans="2:14" x14ac:dyDescent="0.25">
      <c r="B61" s="14">
        <f t="shared" si="8"/>
        <v>55</v>
      </c>
      <c r="C61" s="5">
        <v>0</v>
      </c>
      <c r="D61" s="7">
        <v>4.0263322126708673E-5</v>
      </c>
      <c r="E61" s="6">
        <f t="shared" si="0"/>
        <v>0</v>
      </c>
      <c r="F61" s="7">
        <f t="shared" si="1"/>
        <v>4.0263322126708673E-5</v>
      </c>
      <c r="G61" s="12">
        <f t="shared" si="2"/>
        <v>4.0263322126708673E-5</v>
      </c>
      <c r="H61" s="12">
        <f t="shared" si="3"/>
        <v>0.9999597366778733</v>
      </c>
      <c r="I61" s="5">
        <v>6.1995703697733744E-6</v>
      </c>
      <c r="J61" s="7">
        <v>6.6643367318867589E-5</v>
      </c>
      <c r="K61" s="6">
        <f t="shared" si="4"/>
        <v>6.1993637896506883E-6</v>
      </c>
      <c r="L61" s="7">
        <f t="shared" si="5"/>
        <v>6.6643160738744897E-5</v>
      </c>
      <c r="M61" s="12">
        <f t="shared" si="6"/>
        <v>7.284252452839559E-5</v>
      </c>
      <c r="N61" s="12">
        <f t="shared" si="7"/>
        <v>0.99992715747547156</v>
      </c>
    </row>
    <row r="62" spans="2:14" x14ac:dyDescent="0.25">
      <c r="B62" s="14">
        <f t="shared" si="8"/>
        <v>56</v>
      </c>
      <c r="C62" s="5">
        <v>0</v>
      </c>
      <c r="D62" s="7">
        <v>0</v>
      </c>
      <c r="E62" s="6">
        <f t="shared" si="0"/>
        <v>0</v>
      </c>
      <c r="F62" s="7">
        <f t="shared" si="1"/>
        <v>0</v>
      </c>
      <c r="G62" s="12">
        <f t="shared" si="2"/>
        <v>0</v>
      </c>
      <c r="H62" s="12">
        <f t="shared" si="3"/>
        <v>1</v>
      </c>
      <c r="I62" s="5">
        <v>1.0849290185189634E-5</v>
      </c>
      <c r="J62" s="7">
        <v>4.3396454509666559E-5</v>
      </c>
      <c r="K62" s="6">
        <f t="shared" si="4"/>
        <v>1.0849054774825643E-5</v>
      </c>
      <c r="L62" s="7">
        <f t="shared" si="5"/>
        <v>4.3396219099302567E-5</v>
      </c>
      <c r="M62" s="12">
        <f t="shared" si="6"/>
        <v>5.424527387412821E-5</v>
      </c>
      <c r="N62" s="12">
        <f t="shared" si="7"/>
        <v>0.9999457547261259</v>
      </c>
    </row>
    <row r="63" spans="2:14" x14ac:dyDescent="0.25">
      <c r="B63" s="14">
        <f t="shared" si="8"/>
        <v>57</v>
      </c>
      <c r="C63" s="5">
        <v>0</v>
      </c>
      <c r="D63" s="7">
        <v>0</v>
      </c>
      <c r="E63" s="6">
        <f t="shared" si="0"/>
        <v>0</v>
      </c>
      <c r="F63" s="7">
        <f t="shared" si="1"/>
        <v>0</v>
      </c>
      <c r="G63" s="12">
        <f t="shared" si="2"/>
        <v>0</v>
      </c>
      <c r="H63" s="12">
        <f t="shared" si="3"/>
        <v>1</v>
      </c>
      <c r="I63" s="5">
        <v>1.549922620113191E-6</v>
      </c>
      <c r="J63" s="7">
        <v>2.9448119001398786E-5</v>
      </c>
      <c r="K63" s="6">
        <f t="shared" si="4"/>
        <v>1.549899798960311E-6</v>
      </c>
      <c r="L63" s="7">
        <f t="shared" si="5"/>
        <v>2.9448096180245907E-5</v>
      </c>
      <c r="M63" s="12">
        <f t="shared" si="6"/>
        <v>3.0997995979206215E-5</v>
      </c>
      <c r="N63" s="12">
        <f t="shared" si="7"/>
        <v>0.99996900200402083</v>
      </c>
    </row>
    <row r="64" spans="2:14" x14ac:dyDescent="0.25">
      <c r="B64" s="14">
        <f t="shared" si="8"/>
        <v>58</v>
      </c>
      <c r="C64" s="5">
        <v>0</v>
      </c>
      <c r="D64" s="7">
        <v>0</v>
      </c>
      <c r="E64" s="6">
        <f t="shared" si="0"/>
        <v>0</v>
      </c>
      <c r="F64" s="7">
        <f t="shared" si="1"/>
        <v>0</v>
      </c>
      <c r="G64" s="12">
        <f t="shared" si="2"/>
        <v>0</v>
      </c>
      <c r="H64" s="12">
        <f t="shared" si="3"/>
        <v>1</v>
      </c>
      <c r="I64" s="5">
        <v>0</v>
      </c>
      <c r="J64" s="7">
        <v>4.6496705708400561E-5</v>
      </c>
      <c r="K64" s="6">
        <f t="shared" si="4"/>
        <v>0</v>
      </c>
      <c r="L64" s="7">
        <f t="shared" si="5"/>
        <v>4.6496705708400561E-5</v>
      </c>
      <c r="M64" s="12">
        <f t="shared" si="6"/>
        <v>4.6496705708400561E-5</v>
      </c>
      <c r="N64" s="12">
        <f t="shared" si="7"/>
        <v>0.99995350329429156</v>
      </c>
    </row>
    <row r="65" spans="2:14" x14ac:dyDescent="0.25">
      <c r="B65" s="14">
        <f t="shared" si="8"/>
        <v>59</v>
      </c>
      <c r="C65" s="5">
        <v>0</v>
      </c>
      <c r="D65" s="7">
        <v>0</v>
      </c>
      <c r="E65" s="6">
        <f t="shared" si="0"/>
        <v>0</v>
      </c>
      <c r="F65" s="7">
        <f t="shared" si="1"/>
        <v>0</v>
      </c>
      <c r="G65" s="12">
        <f t="shared" si="2"/>
        <v>0</v>
      </c>
      <c r="H65" s="12">
        <f t="shared" si="3"/>
        <v>1</v>
      </c>
      <c r="I65" s="5">
        <v>3.0998476424883714E-6</v>
      </c>
      <c r="J65" s="7">
        <v>3.7197537523015976E-5</v>
      </c>
      <c r="K65" s="6">
        <f t="shared" si="4"/>
        <v>3.0997899891388727E-6</v>
      </c>
      <c r="L65" s="7">
        <f t="shared" si="5"/>
        <v>3.7197479869666474E-5</v>
      </c>
      <c r="M65" s="12">
        <f t="shared" si="6"/>
        <v>4.029726985880535E-5</v>
      </c>
      <c r="N65" s="12">
        <f t="shared" si="7"/>
        <v>0.99995970273014123</v>
      </c>
    </row>
    <row r="66" spans="2:14" x14ac:dyDescent="0.25">
      <c r="B66" s="14">
        <f t="shared" si="8"/>
        <v>60</v>
      </c>
      <c r="C66" s="5">
        <v>0</v>
      </c>
      <c r="D66" s="7">
        <v>0</v>
      </c>
      <c r="E66" s="6">
        <f t="shared" si="0"/>
        <v>0</v>
      </c>
      <c r="F66" s="7">
        <f t="shared" si="1"/>
        <v>0</v>
      </c>
      <c r="G66" s="12">
        <f t="shared" si="2"/>
        <v>0</v>
      </c>
      <c r="H66" s="12">
        <f t="shared" si="3"/>
        <v>1</v>
      </c>
      <c r="I66" s="5">
        <v>0</v>
      </c>
      <c r="J66" s="7">
        <v>3.7197652828106538E-5</v>
      </c>
      <c r="K66" s="6">
        <f t="shared" si="4"/>
        <v>0</v>
      </c>
      <c r="L66" s="7">
        <f t="shared" si="5"/>
        <v>3.7197652828106538E-5</v>
      </c>
      <c r="M66" s="12">
        <f t="shared" si="6"/>
        <v>3.7197652828106538E-5</v>
      </c>
      <c r="N66" s="12">
        <f t="shared" si="7"/>
        <v>0.99996280234717194</v>
      </c>
    </row>
    <row r="67" spans="2:14" x14ac:dyDescent="0.25">
      <c r="B67" s="14">
        <f t="shared" si="8"/>
        <v>61</v>
      </c>
      <c r="C67" s="5">
        <v>0</v>
      </c>
      <c r="D67" s="7">
        <v>0</v>
      </c>
      <c r="E67" s="6">
        <f t="shared" si="0"/>
        <v>0</v>
      </c>
      <c r="F67" s="7">
        <f t="shared" si="1"/>
        <v>0</v>
      </c>
      <c r="G67" s="12">
        <f t="shared" si="2"/>
        <v>0</v>
      </c>
      <c r="H67" s="12">
        <f t="shared" si="3"/>
        <v>1</v>
      </c>
      <c r="I67" s="5">
        <v>0</v>
      </c>
      <c r="J67" s="7">
        <v>1.3949281960711073E-5</v>
      </c>
      <c r="K67" s="6">
        <f t="shared" si="4"/>
        <v>0</v>
      </c>
      <c r="L67" s="7">
        <f t="shared" si="5"/>
        <v>1.3949281960711073E-5</v>
      </c>
      <c r="M67" s="12">
        <f t="shared" si="6"/>
        <v>1.3949281960711073E-5</v>
      </c>
      <c r="N67" s="12">
        <f t="shared" si="7"/>
        <v>0.99998605071803925</v>
      </c>
    </row>
    <row r="68" spans="2:14" x14ac:dyDescent="0.25">
      <c r="B68" s="14">
        <f t="shared" si="8"/>
        <v>62</v>
      </c>
      <c r="C68" s="5">
        <v>0</v>
      </c>
      <c r="D68" s="7">
        <v>0</v>
      </c>
      <c r="E68" s="6">
        <f t="shared" si="0"/>
        <v>0</v>
      </c>
      <c r="F68" s="7">
        <f t="shared" si="1"/>
        <v>0</v>
      </c>
      <c r="G68" s="12">
        <f t="shared" si="2"/>
        <v>0</v>
      </c>
      <c r="H68" s="12">
        <f t="shared" si="3"/>
        <v>1</v>
      </c>
      <c r="I68" s="5">
        <v>3.0998572515735656E-6</v>
      </c>
      <c r="J68" s="7">
        <v>1.3949281960711073E-5</v>
      </c>
      <c r="K68" s="6">
        <f t="shared" si="4"/>
        <v>3.0998356311821457E-6</v>
      </c>
      <c r="L68" s="7">
        <f t="shared" si="5"/>
        <v>1.3949260340319652E-5</v>
      </c>
      <c r="M68" s="12">
        <f t="shared" si="6"/>
        <v>1.7049095971501798E-5</v>
      </c>
      <c r="N68" s="12">
        <f t="shared" si="7"/>
        <v>0.99998295090402844</v>
      </c>
    </row>
    <row r="69" spans="2:14" x14ac:dyDescent="0.25">
      <c r="B69" s="14">
        <f t="shared" si="8"/>
        <v>63</v>
      </c>
      <c r="C69" s="5">
        <v>0</v>
      </c>
      <c r="D69" s="7">
        <v>0</v>
      </c>
      <c r="E69" s="6">
        <f t="shared" si="0"/>
        <v>0</v>
      </c>
      <c r="F69" s="7">
        <f t="shared" si="1"/>
        <v>0</v>
      </c>
      <c r="G69" s="12">
        <f t="shared" si="2"/>
        <v>0</v>
      </c>
      <c r="H69" s="12">
        <f t="shared" si="3"/>
        <v>1</v>
      </c>
      <c r="I69" s="5">
        <v>0</v>
      </c>
      <c r="J69" s="7">
        <v>9.2995717547206951E-6</v>
      </c>
      <c r="K69" s="6">
        <f t="shared" si="4"/>
        <v>0</v>
      </c>
      <c r="L69" s="7">
        <f t="shared" si="5"/>
        <v>9.2995717547206951E-6</v>
      </c>
      <c r="M69" s="12">
        <f t="shared" si="6"/>
        <v>9.2995717547206951E-6</v>
      </c>
      <c r="N69" s="12">
        <f t="shared" si="7"/>
        <v>0.99999070042824523</v>
      </c>
    </row>
    <row r="70" spans="2:14" x14ac:dyDescent="0.25">
      <c r="B70" s="14">
        <f t="shared" si="8"/>
        <v>64</v>
      </c>
      <c r="C70" s="5">
        <v>0</v>
      </c>
      <c r="D70" s="7">
        <v>0</v>
      </c>
      <c r="E70" s="6">
        <f t="shared" si="0"/>
        <v>0</v>
      </c>
      <c r="F70" s="7">
        <f t="shared" si="1"/>
        <v>0</v>
      </c>
      <c r="G70" s="12">
        <f t="shared" si="2"/>
        <v>0</v>
      </c>
      <c r="H70" s="12">
        <f t="shared" si="3"/>
        <v>1</v>
      </c>
      <c r="I70" s="5">
        <v>0</v>
      </c>
      <c r="J70" s="7">
        <v>1.3949325201393383E-5</v>
      </c>
      <c r="K70" s="6">
        <f t="shared" si="4"/>
        <v>0</v>
      </c>
      <c r="L70" s="7">
        <f t="shared" si="5"/>
        <v>1.3949325201393383E-5</v>
      </c>
      <c r="M70" s="12">
        <f t="shared" si="6"/>
        <v>1.3949325201393383E-5</v>
      </c>
      <c r="N70" s="12">
        <f t="shared" si="7"/>
        <v>0.99998605067479862</v>
      </c>
    </row>
    <row r="71" spans="2:14" x14ac:dyDescent="0.25">
      <c r="B71" s="14">
        <f t="shared" si="8"/>
        <v>65</v>
      </c>
      <c r="C71" s="5">
        <v>0</v>
      </c>
      <c r="D71" s="7">
        <v>0</v>
      </c>
      <c r="E71" s="6">
        <f t="shared" ref="E71:E88" si="9">+C71*(1-0.5*D71)</f>
        <v>0</v>
      </c>
      <c r="F71" s="7">
        <f t="shared" ref="F71:F88" si="10">+D71*(1-0.5*C71)</f>
        <v>0</v>
      </c>
      <c r="G71" s="12">
        <f t="shared" ref="G71:G88" si="11">+F71+E71</f>
        <v>0</v>
      </c>
      <c r="H71" s="12">
        <f t="shared" ref="H71:H88" si="12">1-G71</f>
        <v>1</v>
      </c>
      <c r="I71" s="5">
        <v>0</v>
      </c>
      <c r="J71" s="7">
        <v>3.0998668607183325E-6</v>
      </c>
      <c r="K71" s="6">
        <f t="shared" ref="K71:K88" si="13">+I71*(1-0.5*J71)</f>
        <v>0</v>
      </c>
      <c r="L71" s="7">
        <f t="shared" ref="L71:L88" si="14">+J71*(1-0.5*I71)</f>
        <v>3.0998668607183325E-6</v>
      </c>
      <c r="M71" s="12">
        <f t="shared" ref="M71:M88" si="15">+K71+L71</f>
        <v>3.0998668607183325E-6</v>
      </c>
      <c r="N71" s="12">
        <f t="shared" ref="N71:N88" si="16">1-M71</f>
        <v>0.99999690013313924</v>
      </c>
    </row>
    <row r="72" spans="2:14" x14ac:dyDescent="0.25">
      <c r="B72" s="14">
        <f t="shared" ref="B72:B98" si="17">B71+1</f>
        <v>66</v>
      </c>
      <c r="C72" s="5">
        <v>0</v>
      </c>
      <c r="D72" s="7">
        <v>0</v>
      </c>
      <c r="E72" s="6">
        <f t="shared" si="9"/>
        <v>0</v>
      </c>
      <c r="F72" s="7">
        <f t="shared" si="10"/>
        <v>0</v>
      </c>
      <c r="G72" s="12">
        <f t="shared" si="11"/>
        <v>0</v>
      </c>
      <c r="H72" s="12">
        <f t="shared" si="12"/>
        <v>1</v>
      </c>
      <c r="I72" s="5">
        <v>0</v>
      </c>
      <c r="J72" s="7">
        <v>4.6497966876398321E-6</v>
      </c>
      <c r="K72" s="6">
        <f t="shared" si="13"/>
        <v>0</v>
      </c>
      <c r="L72" s="7">
        <f t="shared" si="14"/>
        <v>4.6497966876398321E-6</v>
      </c>
      <c r="M72" s="12">
        <f t="shared" si="15"/>
        <v>4.6497966876398321E-6</v>
      </c>
      <c r="N72" s="12">
        <f t="shared" si="16"/>
        <v>0.99999535020331232</v>
      </c>
    </row>
    <row r="73" spans="2:14" x14ac:dyDescent="0.25">
      <c r="B73" s="14">
        <f t="shared" si="17"/>
        <v>67</v>
      </c>
      <c r="C73" s="5">
        <v>0</v>
      </c>
      <c r="D73" s="7">
        <v>0</v>
      </c>
      <c r="E73" s="6">
        <f t="shared" si="9"/>
        <v>0</v>
      </c>
      <c r="F73" s="7">
        <f t="shared" si="10"/>
        <v>0</v>
      </c>
      <c r="G73" s="12">
        <f t="shared" si="11"/>
        <v>0</v>
      </c>
      <c r="H73" s="12">
        <f t="shared" si="12"/>
        <v>1</v>
      </c>
      <c r="I73" s="5">
        <v>0</v>
      </c>
      <c r="J73" s="7">
        <v>4.6497966876398321E-6</v>
      </c>
      <c r="K73" s="6">
        <f t="shared" si="13"/>
        <v>0</v>
      </c>
      <c r="L73" s="7">
        <f t="shared" si="14"/>
        <v>4.6497966876398321E-6</v>
      </c>
      <c r="M73" s="12">
        <f t="shared" si="15"/>
        <v>4.6497966876398321E-6</v>
      </c>
      <c r="N73" s="12">
        <f t="shared" si="16"/>
        <v>0.99999535020331232</v>
      </c>
    </row>
    <row r="74" spans="2:14" x14ac:dyDescent="0.25">
      <c r="B74" s="14">
        <f t="shared" si="17"/>
        <v>68</v>
      </c>
      <c r="C74" s="5">
        <v>0</v>
      </c>
      <c r="D74" s="7">
        <v>0</v>
      </c>
      <c r="E74" s="6">
        <f t="shared" si="9"/>
        <v>0</v>
      </c>
      <c r="F74" s="7">
        <f t="shared" si="10"/>
        <v>0</v>
      </c>
      <c r="G74" s="12">
        <f t="shared" si="11"/>
        <v>0</v>
      </c>
      <c r="H74" s="12">
        <f t="shared" si="12"/>
        <v>1</v>
      </c>
      <c r="I74" s="5">
        <v>3.0998668607183325E-6</v>
      </c>
      <c r="J74" s="7">
        <v>4.6497966876398321E-6</v>
      </c>
      <c r="K74" s="6">
        <f t="shared" si="13"/>
        <v>3.0998596538430017E-6</v>
      </c>
      <c r="L74" s="7">
        <f t="shared" si="14"/>
        <v>4.6497894807645013E-6</v>
      </c>
      <c r="M74" s="12">
        <f t="shared" si="15"/>
        <v>7.7496491346075031E-6</v>
      </c>
      <c r="N74" s="12">
        <f t="shared" si="16"/>
        <v>0.99999225035086536</v>
      </c>
    </row>
    <row r="75" spans="2:14" x14ac:dyDescent="0.25">
      <c r="B75" s="14">
        <f t="shared" si="17"/>
        <v>69</v>
      </c>
      <c r="C75" s="5">
        <v>0</v>
      </c>
      <c r="D75" s="7">
        <v>0</v>
      </c>
      <c r="E75" s="6">
        <f t="shared" si="9"/>
        <v>0</v>
      </c>
      <c r="F75" s="7">
        <f t="shared" si="10"/>
        <v>0</v>
      </c>
      <c r="G75" s="12">
        <f t="shared" si="11"/>
        <v>0</v>
      </c>
      <c r="H75" s="12">
        <f t="shared" si="12"/>
        <v>1</v>
      </c>
      <c r="I75" s="5">
        <v>3.0998764699226737E-6</v>
      </c>
      <c r="J75" s="7">
        <v>6.1997433306261119E-6</v>
      </c>
      <c r="K75" s="6">
        <f t="shared" si="13"/>
        <v>3.0998668607034386E-6</v>
      </c>
      <c r="L75" s="7">
        <f t="shared" si="14"/>
        <v>6.1997337214068765E-6</v>
      </c>
      <c r="M75" s="12">
        <f t="shared" si="15"/>
        <v>9.2996005821103147E-6</v>
      </c>
      <c r="N75" s="12">
        <f t="shared" si="16"/>
        <v>0.99999070039941784</v>
      </c>
    </row>
    <row r="76" spans="2:14" x14ac:dyDescent="0.25">
      <c r="B76" s="14">
        <f t="shared" si="17"/>
        <v>70</v>
      </c>
      <c r="C76" s="5">
        <v>0</v>
      </c>
      <c r="D76" s="7">
        <v>0</v>
      </c>
      <c r="E76" s="6">
        <f t="shared" si="9"/>
        <v>0</v>
      </c>
      <c r="F76" s="7">
        <f t="shared" si="10"/>
        <v>0</v>
      </c>
      <c r="G76" s="12">
        <f t="shared" si="11"/>
        <v>0</v>
      </c>
      <c r="H76" s="12">
        <f t="shared" si="12"/>
        <v>1</v>
      </c>
      <c r="I76" s="5">
        <v>0</v>
      </c>
      <c r="J76" s="7">
        <v>0</v>
      </c>
      <c r="K76" s="6">
        <f t="shared" si="13"/>
        <v>0</v>
      </c>
      <c r="L76" s="7">
        <f t="shared" si="14"/>
        <v>0</v>
      </c>
      <c r="M76" s="12">
        <f t="shared" si="15"/>
        <v>0</v>
      </c>
      <c r="N76" s="12">
        <f t="shared" si="16"/>
        <v>1</v>
      </c>
    </row>
    <row r="77" spans="2:14" x14ac:dyDescent="0.25">
      <c r="B77" s="14">
        <f t="shared" si="17"/>
        <v>71</v>
      </c>
      <c r="C77" s="5">
        <v>0</v>
      </c>
      <c r="D77" s="7">
        <v>0</v>
      </c>
      <c r="E77" s="6">
        <f t="shared" si="9"/>
        <v>0</v>
      </c>
      <c r="F77" s="7">
        <f t="shared" si="10"/>
        <v>0</v>
      </c>
      <c r="G77" s="12">
        <f t="shared" si="11"/>
        <v>0</v>
      </c>
      <c r="H77" s="12">
        <f t="shared" si="12"/>
        <v>1</v>
      </c>
      <c r="I77" s="5">
        <v>0</v>
      </c>
      <c r="J77" s="7">
        <v>0</v>
      </c>
      <c r="K77" s="6">
        <f t="shared" si="13"/>
        <v>0</v>
      </c>
      <c r="L77" s="7">
        <f t="shared" si="14"/>
        <v>0</v>
      </c>
      <c r="M77" s="12">
        <f t="shared" si="15"/>
        <v>0</v>
      </c>
      <c r="N77" s="12">
        <f t="shared" si="16"/>
        <v>1</v>
      </c>
    </row>
    <row r="78" spans="2:14" x14ac:dyDescent="0.25">
      <c r="B78" s="14">
        <f t="shared" si="17"/>
        <v>72</v>
      </c>
      <c r="C78" s="5">
        <v>0</v>
      </c>
      <c r="D78" s="7">
        <v>0</v>
      </c>
      <c r="E78" s="6">
        <f t="shared" si="9"/>
        <v>0</v>
      </c>
      <c r="F78" s="7">
        <f t="shared" si="10"/>
        <v>0</v>
      </c>
      <c r="G78" s="12">
        <f t="shared" si="11"/>
        <v>0</v>
      </c>
      <c r="H78" s="12">
        <f t="shared" si="12"/>
        <v>1</v>
      </c>
      <c r="I78" s="5">
        <v>0</v>
      </c>
      <c r="J78" s="7">
        <v>0</v>
      </c>
      <c r="K78" s="6">
        <f t="shared" si="13"/>
        <v>0</v>
      </c>
      <c r="L78" s="7">
        <f t="shared" si="14"/>
        <v>0</v>
      </c>
      <c r="M78" s="12">
        <f t="shared" si="15"/>
        <v>0</v>
      </c>
      <c r="N78" s="12">
        <f t="shared" si="16"/>
        <v>1</v>
      </c>
    </row>
    <row r="79" spans="2:14" x14ac:dyDescent="0.25">
      <c r="B79" s="14">
        <f t="shared" si="17"/>
        <v>73</v>
      </c>
      <c r="C79" s="5">
        <v>0</v>
      </c>
      <c r="D79" s="7">
        <v>0</v>
      </c>
      <c r="E79" s="6">
        <f t="shared" si="9"/>
        <v>0</v>
      </c>
      <c r="F79" s="7">
        <f t="shared" si="10"/>
        <v>0</v>
      </c>
      <c r="G79" s="12">
        <f t="shared" si="11"/>
        <v>0</v>
      </c>
      <c r="H79" s="12">
        <f t="shared" si="12"/>
        <v>1</v>
      </c>
      <c r="I79" s="5">
        <v>0</v>
      </c>
      <c r="J79" s="7">
        <v>0</v>
      </c>
      <c r="K79" s="6">
        <f t="shared" si="13"/>
        <v>0</v>
      </c>
      <c r="L79" s="7">
        <f t="shared" si="14"/>
        <v>0</v>
      </c>
      <c r="M79" s="12">
        <f t="shared" si="15"/>
        <v>0</v>
      </c>
      <c r="N79" s="12">
        <f t="shared" si="16"/>
        <v>1</v>
      </c>
    </row>
    <row r="80" spans="2:14" x14ac:dyDescent="0.25">
      <c r="B80" s="14">
        <f t="shared" si="17"/>
        <v>74</v>
      </c>
      <c r="C80" s="5">
        <v>0</v>
      </c>
      <c r="D80" s="7">
        <v>0</v>
      </c>
      <c r="E80" s="6">
        <f t="shared" si="9"/>
        <v>0</v>
      </c>
      <c r="F80" s="7">
        <f t="shared" si="10"/>
        <v>0</v>
      </c>
      <c r="G80" s="12">
        <f t="shared" si="11"/>
        <v>0</v>
      </c>
      <c r="H80" s="12">
        <f t="shared" si="12"/>
        <v>1</v>
      </c>
      <c r="I80" s="5">
        <v>0</v>
      </c>
      <c r="J80" s="7">
        <v>0</v>
      </c>
      <c r="K80" s="6">
        <f t="shared" si="13"/>
        <v>0</v>
      </c>
      <c r="L80" s="7">
        <f t="shared" si="14"/>
        <v>0</v>
      </c>
      <c r="M80" s="12">
        <f t="shared" si="15"/>
        <v>0</v>
      </c>
      <c r="N80" s="12">
        <f t="shared" si="16"/>
        <v>1</v>
      </c>
    </row>
    <row r="81" spans="2:14" x14ac:dyDescent="0.25">
      <c r="B81" s="14">
        <f t="shared" si="17"/>
        <v>75</v>
      </c>
      <c r="C81" s="5">
        <v>0</v>
      </c>
      <c r="D81" s="7">
        <v>0</v>
      </c>
      <c r="E81" s="6">
        <f t="shared" si="9"/>
        <v>0</v>
      </c>
      <c r="F81" s="7">
        <f t="shared" si="10"/>
        <v>0</v>
      </c>
      <c r="G81" s="12">
        <f t="shared" si="11"/>
        <v>0</v>
      </c>
      <c r="H81" s="12">
        <f t="shared" si="12"/>
        <v>1</v>
      </c>
      <c r="I81" s="5">
        <v>0</v>
      </c>
      <c r="J81" s="7">
        <v>0</v>
      </c>
      <c r="K81" s="6">
        <f t="shared" si="13"/>
        <v>0</v>
      </c>
      <c r="L81" s="7">
        <f t="shared" si="14"/>
        <v>0</v>
      </c>
      <c r="M81" s="12">
        <f t="shared" si="15"/>
        <v>0</v>
      </c>
      <c r="N81" s="12">
        <f t="shared" si="16"/>
        <v>1</v>
      </c>
    </row>
    <row r="82" spans="2:14" x14ac:dyDescent="0.25">
      <c r="B82" s="14">
        <f t="shared" si="17"/>
        <v>76</v>
      </c>
      <c r="C82" s="5">
        <v>0</v>
      </c>
      <c r="D82" s="7">
        <v>0</v>
      </c>
      <c r="E82" s="6">
        <f t="shared" si="9"/>
        <v>0</v>
      </c>
      <c r="F82" s="7">
        <f t="shared" si="10"/>
        <v>0</v>
      </c>
      <c r="G82" s="12">
        <f t="shared" si="11"/>
        <v>0</v>
      </c>
      <c r="H82" s="12">
        <f t="shared" si="12"/>
        <v>1</v>
      </c>
      <c r="I82" s="5">
        <v>0</v>
      </c>
      <c r="J82" s="7">
        <v>0</v>
      </c>
      <c r="K82" s="6">
        <f t="shared" si="13"/>
        <v>0</v>
      </c>
      <c r="L82" s="7">
        <f t="shared" si="14"/>
        <v>0</v>
      </c>
      <c r="M82" s="12">
        <f t="shared" si="15"/>
        <v>0</v>
      </c>
      <c r="N82" s="12">
        <f t="shared" si="16"/>
        <v>1</v>
      </c>
    </row>
    <row r="83" spans="2:14" x14ac:dyDescent="0.25">
      <c r="B83" s="14">
        <f t="shared" si="17"/>
        <v>77</v>
      </c>
      <c r="C83" s="5">
        <v>0</v>
      </c>
      <c r="D83" s="7">
        <v>0</v>
      </c>
      <c r="E83" s="6">
        <f t="shared" si="9"/>
        <v>0</v>
      </c>
      <c r="F83" s="7">
        <f t="shared" si="10"/>
        <v>0</v>
      </c>
      <c r="G83" s="12">
        <f t="shared" si="11"/>
        <v>0</v>
      </c>
      <c r="H83" s="12">
        <f t="shared" si="12"/>
        <v>1</v>
      </c>
      <c r="I83" s="5">
        <v>0</v>
      </c>
      <c r="J83" s="7">
        <v>0</v>
      </c>
      <c r="K83" s="6">
        <f t="shared" si="13"/>
        <v>0</v>
      </c>
      <c r="L83" s="7">
        <f t="shared" si="14"/>
        <v>0</v>
      </c>
      <c r="M83" s="12">
        <f t="shared" si="15"/>
        <v>0</v>
      </c>
      <c r="N83" s="12">
        <f t="shared" si="16"/>
        <v>1</v>
      </c>
    </row>
    <row r="84" spans="2:14" x14ac:dyDescent="0.25">
      <c r="B84" s="14">
        <f t="shared" si="17"/>
        <v>78</v>
      </c>
      <c r="C84" s="5">
        <v>0</v>
      </c>
      <c r="D84" s="7">
        <v>0</v>
      </c>
      <c r="E84" s="6">
        <f t="shared" si="9"/>
        <v>0</v>
      </c>
      <c r="F84" s="7">
        <f t="shared" si="10"/>
        <v>0</v>
      </c>
      <c r="G84" s="12">
        <f t="shared" si="11"/>
        <v>0</v>
      </c>
      <c r="H84" s="12">
        <f t="shared" si="12"/>
        <v>1</v>
      </c>
      <c r="I84" s="5">
        <v>0</v>
      </c>
      <c r="J84" s="7">
        <v>0</v>
      </c>
      <c r="K84" s="6">
        <f t="shared" si="13"/>
        <v>0</v>
      </c>
      <c r="L84" s="7">
        <f t="shared" si="14"/>
        <v>0</v>
      </c>
      <c r="M84" s="12">
        <f t="shared" si="15"/>
        <v>0</v>
      </c>
      <c r="N84" s="12">
        <f t="shared" si="16"/>
        <v>1</v>
      </c>
    </row>
    <row r="85" spans="2:14" x14ac:dyDescent="0.25">
      <c r="B85" s="14">
        <f t="shared" si="17"/>
        <v>79</v>
      </c>
      <c r="C85" s="5">
        <v>0</v>
      </c>
      <c r="D85" s="7">
        <v>0</v>
      </c>
      <c r="E85" s="6">
        <f t="shared" si="9"/>
        <v>0</v>
      </c>
      <c r="F85" s="7">
        <f t="shared" si="10"/>
        <v>0</v>
      </c>
      <c r="G85" s="12">
        <f t="shared" si="11"/>
        <v>0</v>
      </c>
      <c r="H85" s="12">
        <f t="shared" si="12"/>
        <v>1</v>
      </c>
      <c r="I85" s="5">
        <v>0</v>
      </c>
      <c r="J85" s="7">
        <v>0</v>
      </c>
      <c r="K85" s="6">
        <f t="shared" si="13"/>
        <v>0</v>
      </c>
      <c r="L85" s="7">
        <f t="shared" si="14"/>
        <v>0</v>
      </c>
      <c r="M85" s="12">
        <f t="shared" si="15"/>
        <v>0</v>
      </c>
      <c r="N85" s="12">
        <f t="shared" si="16"/>
        <v>1</v>
      </c>
    </row>
    <row r="86" spans="2:14" x14ac:dyDescent="0.25">
      <c r="B86" s="14">
        <f t="shared" si="17"/>
        <v>80</v>
      </c>
      <c r="C86" s="5">
        <v>0</v>
      </c>
      <c r="D86" s="7">
        <v>0</v>
      </c>
      <c r="E86" s="6">
        <f t="shared" si="9"/>
        <v>0</v>
      </c>
      <c r="F86" s="7">
        <f t="shared" si="10"/>
        <v>0</v>
      </c>
      <c r="G86" s="12">
        <f t="shared" si="11"/>
        <v>0</v>
      </c>
      <c r="H86" s="12">
        <f t="shared" si="12"/>
        <v>1</v>
      </c>
      <c r="I86" s="5">
        <v>0</v>
      </c>
      <c r="J86" s="7">
        <v>0</v>
      </c>
      <c r="K86" s="6">
        <f t="shared" si="13"/>
        <v>0</v>
      </c>
      <c r="L86" s="7">
        <f t="shared" si="14"/>
        <v>0</v>
      </c>
      <c r="M86" s="12">
        <f t="shared" si="15"/>
        <v>0</v>
      </c>
      <c r="N86" s="12">
        <f t="shared" si="16"/>
        <v>1</v>
      </c>
    </row>
    <row r="87" spans="2:14" x14ac:dyDescent="0.25">
      <c r="B87" s="14">
        <f t="shared" si="17"/>
        <v>81</v>
      </c>
      <c r="C87" s="5">
        <v>0</v>
      </c>
      <c r="D87" s="7">
        <v>0</v>
      </c>
      <c r="E87" s="6">
        <f t="shared" si="9"/>
        <v>0</v>
      </c>
      <c r="F87" s="7">
        <f t="shared" si="10"/>
        <v>0</v>
      </c>
      <c r="G87" s="12">
        <f t="shared" si="11"/>
        <v>0</v>
      </c>
      <c r="H87" s="12">
        <f t="shared" si="12"/>
        <v>1</v>
      </c>
      <c r="I87" s="5">
        <v>0</v>
      </c>
      <c r="J87" s="7">
        <v>0</v>
      </c>
      <c r="K87" s="6">
        <f t="shared" si="13"/>
        <v>0</v>
      </c>
      <c r="L87" s="7">
        <f t="shared" si="14"/>
        <v>0</v>
      </c>
      <c r="M87" s="12">
        <f t="shared" si="15"/>
        <v>0</v>
      </c>
      <c r="N87" s="12">
        <f t="shared" si="16"/>
        <v>1</v>
      </c>
    </row>
    <row r="88" spans="2:14" x14ac:dyDescent="0.25">
      <c r="B88" s="14">
        <f t="shared" si="17"/>
        <v>82</v>
      </c>
      <c r="C88" s="5">
        <v>0</v>
      </c>
      <c r="D88" s="7">
        <v>0</v>
      </c>
      <c r="E88" s="6">
        <f t="shared" si="9"/>
        <v>0</v>
      </c>
      <c r="F88" s="7">
        <f t="shared" si="10"/>
        <v>0</v>
      </c>
      <c r="G88" s="12">
        <f t="shared" si="11"/>
        <v>0</v>
      </c>
      <c r="H88" s="12">
        <f t="shared" si="12"/>
        <v>1</v>
      </c>
      <c r="I88" s="5">
        <v>0</v>
      </c>
      <c r="J88" s="7">
        <v>0</v>
      </c>
      <c r="K88" s="6">
        <f t="shared" si="13"/>
        <v>0</v>
      </c>
      <c r="L88" s="7">
        <f t="shared" si="14"/>
        <v>0</v>
      </c>
      <c r="M88" s="12">
        <f t="shared" si="15"/>
        <v>0</v>
      </c>
      <c r="N88" s="12">
        <f t="shared" si="16"/>
        <v>1</v>
      </c>
    </row>
    <row r="89" spans="2:14" x14ac:dyDescent="0.25">
      <c r="B89" s="14">
        <f t="shared" si="17"/>
        <v>83</v>
      </c>
      <c r="C89" s="5">
        <v>0</v>
      </c>
      <c r="D89" s="7">
        <v>0</v>
      </c>
      <c r="E89" s="6">
        <f t="shared" ref="E89:E98" si="18">+C89*(1-0.5*D89)</f>
        <v>0</v>
      </c>
      <c r="F89" s="7">
        <f t="shared" ref="F89:F98" si="19">+D89*(1-0.5*C89)</f>
        <v>0</v>
      </c>
      <c r="G89" s="12">
        <f t="shared" ref="G89:G98" si="20">+F89+E89</f>
        <v>0</v>
      </c>
      <c r="H89" s="12">
        <f t="shared" ref="H89:H98" si="21">1-G89</f>
        <v>1</v>
      </c>
      <c r="I89" s="5">
        <v>0</v>
      </c>
      <c r="J89" s="7">
        <v>0</v>
      </c>
      <c r="K89" s="6">
        <f t="shared" ref="K89:K98" si="22">+I89*(1-0.5*J89)</f>
        <v>0</v>
      </c>
      <c r="L89" s="7">
        <f t="shared" ref="L89:L98" si="23">+J89*(1-0.5*I89)</f>
        <v>0</v>
      </c>
      <c r="M89" s="12">
        <f t="shared" ref="M89:M98" si="24">+K89+L89</f>
        <v>0</v>
      </c>
      <c r="N89" s="12">
        <f t="shared" ref="N89:N98" si="25">1-M89</f>
        <v>1</v>
      </c>
    </row>
    <row r="90" spans="2:14" x14ac:dyDescent="0.25">
      <c r="B90" s="14">
        <f t="shared" si="17"/>
        <v>84</v>
      </c>
      <c r="C90" s="5">
        <v>0</v>
      </c>
      <c r="D90" s="7">
        <v>0</v>
      </c>
      <c r="E90" s="6">
        <f t="shared" si="18"/>
        <v>0</v>
      </c>
      <c r="F90" s="7">
        <f t="shared" si="19"/>
        <v>0</v>
      </c>
      <c r="G90" s="12">
        <f t="shared" si="20"/>
        <v>0</v>
      </c>
      <c r="H90" s="12">
        <f t="shared" si="21"/>
        <v>1</v>
      </c>
      <c r="I90" s="5">
        <v>0</v>
      </c>
      <c r="J90" s="7">
        <v>0</v>
      </c>
      <c r="K90" s="6">
        <f t="shared" si="22"/>
        <v>0</v>
      </c>
      <c r="L90" s="7">
        <f t="shared" si="23"/>
        <v>0</v>
      </c>
      <c r="M90" s="12">
        <f t="shared" si="24"/>
        <v>0</v>
      </c>
      <c r="N90" s="12">
        <f t="shared" si="25"/>
        <v>1</v>
      </c>
    </row>
    <row r="91" spans="2:14" x14ac:dyDescent="0.25">
      <c r="B91" s="14">
        <f t="shared" si="17"/>
        <v>85</v>
      </c>
      <c r="C91" s="5">
        <v>0</v>
      </c>
      <c r="D91" s="7">
        <v>0</v>
      </c>
      <c r="E91" s="6">
        <f t="shared" si="18"/>
        <v>0</v>
      </c>
      <c r="F91" s="7">
        <f t="shared" si="19"/>
        <v>0</v>
      </c>
      <c r="G91" s="12">
        <f t="shared" si="20"/>
        <v>0</v>
      </c>
      <c r="H91" s="12">
        <f t="shared" si="21"/>
        <v>1</v>
      </c>
      <c r="I91" s="5">
        <v>0</v>
      </c>
      <c r="J91" s="7">
        <v>0</v>
      </c>
      <c r="K91" s="6">
        <f t="shared" si="22"/>
        <v>0</v>
      </c>
      <c r="L91" s="7">
        <f t="shared" si="23"/>
        <v>0</v>
      </c>
      <c r="M91" s="12">
        <f t="shared" si="24"/>
        <v>0</v>
      </c>
      <c r="N91" s="12">
        <f t="shared" si="25"/>
        <v>1</v>
      </c>
    </row>
    <row r="92" spans="2:14" x14ac:dyDescent="0.25">
      <c r="B92" s="14">
        <f t="shared" si="17"/>
        <v>86</v>
      </c>
      <c r="C92" s="5">
        <v>0</v>
      </c>
      <c r="D92" s="7">
        <v>0</v>
      </c>
      <c r="E92" s="6">
        <f t="shared" si="18"/>
        <v>0</v>
      </c>
      <c r="F92" s="7">
        <f t="shared" si="19"/>
        <v>0</v>
      </c>
      <c r="G92" s="12">
        <f t="shared" si="20"/>
        <v>0</v>
      </c>
      <c r="H92" s="12">
        <f t="shared" si="21"/>
        <v>1</v>
      </c>
      <c r="I92" s="5">
        <v>0</v>
      </c>
      <c r="J92" s="7">
        <v>0</v>
      </c>
      <c r="K92" s="6">
        <f t="shared" si="22"/>
        <v>0</v>
      </c>
      <c r="L92" s="7">
        <f t="shared" si="23"/>
        <v>0</v>
      </c>
      <c r="M92" s="12">
        <f t="shared" si="24"/>
        <v>0</v>
      </c>
      <c r="N92" s="12">
        <f t="shared" si="25"/>
        <v>1</v>
      </c>
    </row>
    <row r="93" spans="2:14" x14ac:dyDescent="0.25">
      <c r="B93" s="14">
        <f t="shared" si="17"/>
        <v>87</v>
      </c>
      <c r="C93" s="5">
        <v>0</v>
      </c>
      <c r="D93" s="7">
        <v>0</v>
      </c>
      <c r="E93" s="6">
        <f t="shared" si="18"/>
        <v>0</v>
      </c>
      <c r="F93" s="7">
        <f t="shared" si="19"/>
        <v>0</v>
      </c>
      <c r="G93" s="12">
        <f t="shared" si="20"/>
        <v>0</v>
      </c>
      <c r="H93" s="12">
        <f t="shared" si="21"/>
        <v>1</v>
      </c>
      <c r="I93" s="5">
        <v>0</v>
      </c>
      <c r="J93" s="7">
        <v>0</v>
      </c>
      <c r="K93" s="6">
        <f t="shared" si="22"/>
        <v>0</v>
      </c>
      <c r="L93" s="7">
        <f t="shared" si="23"/>
        <v>0</v>
      </c>
      <c r="M93" s="12">
        <f t="shared" si="24"/>
        <v>0</v>
      </c>
      <c r="N93" s="12">
        <f t="shared" si="25"/>
        <v>1</v>
      </c>
    </row>
    <row r="94" spans="2:14" x14ac:dyDescent="0.25">
      <c r="B94" s="14">
        <f t="shared" si="17"/>
        <v>88</v>
      </c>
      <c r="C94" s="5">
        <v>0</v>
      </c>
      <c r="D94" s="7">
        <v>0</v>
      </c>
      <c r="E94" s="6">
        <f t="shared" si="18"/>
        <v>0</v>
      </c>
      <c r="F94" s="7">
        <f t="shared" si="19"/>
        <v>0</v>
      </c>
      <c r="G94" s="12">
        <f t="shared" si="20"/>
        <v>0</v>
      </c>
      <c r="H94" s="12">
        <f t="shared" si="21"/>
        <v>1</v>
      </c>
      <c r="I94" s="5">
        <v>0</v>
      </c>
      <c r="J94" s="7">
        <v>0</v>
      </c>
      <c r="K94" s="6">
        <f t="shared" si="22"/>
        <v>0</v>
      </c>
      <c r="L94" s="7">
        <f t="shared" si="23"/>
        <v>0</v>
      </c>
      <c r="M94" s="12">
        <f t="shared" si="24"/>
        <v>0</v>
      </c>
      <c r="N94" s="12">
        <f t="shared" si="25"/>
        <v>1</v>
      </c>
    </row>
    <row r="95" spans="2:14" x14ac:dyDescent="0.25">
      <c r="B95" s="14">
        <f t="shared" si="17"/>
        <v>89</v>
      </c>
      <c r="C95" s="5">
        <v>0</v>
      </c>
      <c r="D95" s="7">
        <v>0</v>
      </c>
      <c r="E95" s="6">
        <f t="shared" si="18"/>
        <v>0</v>
      </c>
      <c r="F95" s="7">
        <f t="shared" si="19"/>
        <v>0</v>
      </c>
      <c r="G95" s="12">
        <f t="shared" si="20"/>
        <v>0</v>
      </c>
      <c r="H95" s="12">
        <f t="shared" si="21"/>
        <v>1</v>
      </c>
      <c r="I95" s="5">
        <v>0</v>
      </c>
      <c r="J95" s="7">
        <v>0</v>
      </c>
      <c r="K95" s="6">
        <f t="shared" si="22"/>
        <v>0</v>
      </c>
      <c r="L95" s="7">
        <f t="shared" si="23"/>
        <v>0</v>
      </c>
      <c r="M95" s="12">
        <f t="shared" si="24"/>
        <v>0</v>
      </c>
      <c r="N95" s="12">
        <f t="shared" si="25"/>
        <v>1</v>
      </c>
    </row>
    <row r="96" spans="2:14" x14ac:dyDescent="0.25">
      <c r="B96" s="14">
        <f t="shared" si="17"/>
        <v>90</v>
      </c>
      <c r="C96" s="5">
        <v>0</v>
      </c>
      <c r="D96" s="7">
        <v>0</v>
      </c>
      <c r="E96" s="6">
        <f t="shared" si="18"/>
        <v>0</v>
      </c>
      <c r="F96" s="7">
        <f t="shared" si="19"/>
        <v>0</v>
      </c>
      <c r="G96" s="12">
        <f t="shared" si="20"/>
        <v>0</v>
      </c>
      <c r="H96" s="12">
        <f t="shared" si="21"/>
        <v>1</v>
      </c>
      <c r="I96" s="5">
        <v>0</v>
      </c>
      <c r="J96" s="7">
        <v>0</v>
      </c>
      <c r="K96" s="6">
        <f t="shared" si="22"/>
        <v>0</v>
      </c>
      <c r="L96" s="7">
        <f t="shared" si="23"/>
        <v>0</v>
      </c>
      <c r="M96" s="12">
        <f t="shared" si="24"/>
        <v>0</v>
      </c>
      <c r="N96" s="12">
        <f t="shared" si="25"/>
        <v>1</v>
      </c>
    </row>
    <row r="97" spans="2:14" x14ac:dyDescent="0.25">
      <c r="B97" s="14">
        <f t="shared" si="17"/>
        <v>91</v>
      </c>
      <c r="C97" s="5">
        <v>0</v>
      </c>
      <c r="D97" s="7">
        <v>0</v>
      </c>
      <c r="E97" s="6">
        <f t="shared" si="18"/>
        <v>0</v>
      </c>
      <c r="F97" s="7">
        <f t="shared" si="19"/>
        <v>0</v>
      </c>
      <c r="G97" s="12">
        <f t="shared" si="20"/>
        <v>0</v>
      </c>
      <c r="H97" s="12">
        <f t="shared" si="21"/>
        <v>1</v>
      </c>
      <c r="I97" s="5">
        <v>0</v>
      </c>
      <c r="J97" s="7">
        <v>0</v>
      </c>
      <c r="K97" s="6">
        <f t="shared" si="22"/>
        <v>0</v>
      </c>
      <c r="L97" s="7">
        <f t="shared" si="23"/>
        <v>0</v>
      </c>
      <c r="M97" s="12">
        <f t="shared" si="24"/>
        <v>0</v>
      </c>
      <c r="N97" s="12">
        <f t="shared" si="25"/>
        <v>1</v>
      </c>
    </row>
    <row r="98" spans="2:14" x14ac:dyDescent="0.25">
      <c r="B98" s="14">
        <f t="shared" si="17"/>
        <v>92</v>
      </c>
      <c r="C98" s="5">
        <v>0</v>
      </c>
      <c r="D98" s="7">
        <v>0</v>
      </c>
      <c r="E98" s="6">
        <f t="shared" si="18"/>
        <v>0</v>
      </c>
      <c r="F98" s="7">
        <f t="shared" si="19"/>
        <v>0</v>
      </c>
      <c r="G98" s="12">
        <f t="shared" si="20"/>
        <v>0</v>
      </c>
      <c r="H98" s="12">
        <f t="shared" si="21"/>
        <v>1</v>
      </c>
      <c r="I98" s="5">
        <v>0</v>
      </c>
      <c r="J98" s="7">
        <v>0</v>
      </c>
      <c r="K98" s="6">
        <f t="shared" si="22"/>
        <v>0</v>
      </c>
      <c r="L98" s="7">
        <f t="shared" si="23"/>
        <v>0</v>
      </c>
      <c r="M98" s="12">
        <f t="shared" si="24"/>
        <v>0</v>
      </c>
      <c r="N98" s="12">
        <f t="shared" si="25"/>
        <v>1</v>
      </c>
    </row>
  </sheetData>
  <mergeCells count="3">
    <mergeCell ref="C4:H4"/>
    <mergeCell ref="I4:N4"/>
    <mergeCell ref="B4:B5"/>
  </mergeCells>
  <pageMargins left="0.7" right="0.7" top="0.75" bottom="0.75" header="0.3" footer="0.3"/>
  <pageSetup paperSize="9" orientation="portrait" verticalDpi="597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36387-DD44-473E-8DF7-D35752C190F7}">
  <sheetPr codeName="Hoja9"/>
  <dimension ref="A1:T96"/>
  <sheetViews>
    <sheetView zoomScale="115" zoomScaleNormal="115" workbookViewId="0">
      <selection activeCell="H4" sqref="H4"/>
    </sheetView>
  </sheetViews>
  <sheetFormatPr baseColWidth="10" defaultRowHeight="15" x14ac:dyDescent="0.25"/>
  <cols>
    <col min="1" max="1" width="8.140625" style="1" bestFit="1" customWidth="1"/>
    <col min="2" max="10" width="11.42578125" style="1" customWidth="1"/>
    <col min="11" max="11" width="11.42578125" style="3" customWidth="1"/>
    <col min="12" max="13" width="11.42578125" style="1" customWidth="1"/>
    <col min="14" max="14" width="13.42578125" style="1" bestFit="1" customWidth="1"/>
    <col min="15" max="20" width="11.42578125" style="1" customWidth="1"/>
    <col min="21" max="16384" width="11.42578125" style="1"/>
  </cols>
  <sheetData>
    <row r="1" spans="1:20" ht="15.75" thickBot="1" x14ac:dyDescent="0.3">
      <c r="K1" s="1"/>
    </row>
    <row r="2" spans="1:20" x14ac:dyDescent="0.25">
      <c r="A2" s="99" t="s">
        <v>41</v>
      </c>
      <c r="B2" s="100"/>
      <c r="C2" s="100"/>
      <c r="D2" s="100"/>
      <c r="E2" s="101"/>
      <c r="G2" s="22" t="s">
        <v>3</v>
      </c>
      <c r="H2" s="85">
        <v>0.02</v>
      </c>
      <c r="I2" s="22" t="s">
        <v>4</v>
      </c>
      <c r="J2" s="86">
        <v>100000</v>
      </c>
      <c r="L2" s="89" t="s">
        <v>12</v>
      </c>
      <c r="M2" s="90"/>
      <c r="N2" s="91"/>
    </row>
    <row r="3" spans="1:20" x14ac:dyDescent="0.25">
      <c r="A3" s="21" t="s">
        <v>13</v>
      </c>
      <c r="B3" s="20" t="s">
        <v>1</v>
      </c>
      <c r="C3" s="20" t="s">
        <v>2</v>
      </c>
      <c r="D3" s="20" t="s">
        <v>5</v>
      </c>
      <c r="E3" s="20" t="s">
        <v>6</v>
      </c>
      <c r="F3" s="15" t="s">
        <v>16</v>
      </c>
      <c r="G3" s="15" t="s">
        <v>18</v>
      </c>
      <c r="H3" s="15" t="s">
        <v>19</v>
      </c>
      <c r="I3" s="18" t="s">
        <v>17</v>
      </c>
      <c r="J3" s="18" t="s">
        <v>23</v>
      </c>
      <c r="K3" s="18" t="s">
        <v>24</v>
      </c>
      <c r="L3" s="23" t="s">
        <v>7</v>
      </c>
      <c r="M3" s="23" t="s">
        <v>8</v>
      </c>
      <c r="N3" s="23" t="s">
        <v>9</v>
      </c>
      <c r="O3" s="16" t="s">
        <v>20</v>
      </c>
      <c r="P3" s="16" t="s">
        <v>21</v>
      </c>
      <c r="Q3" s="17" t="s">
        <v>22</v>
      </c>
      <c r="R3" s="18" t="s">
        <v>25</v>
      </c>
      <c r="S3" s="18" t="s">
        <v>26</v>
      </c>
      <c r="T3" s="19" t="s">
        <v>27</v>
      </c>
    </row>
    <row r="4" spans="1:20" x14ac:dyDescent="0.25">
      <c r="A4" s="24">
        <v>0</v>
      </c>
      <c r="B4" s="12" cm="1">
        <f t="array" ref="B4:B96">TDM!G6:G98</f>
        <v>1.0490732543925665E-3</v>
      </c>
      <c r="C4" s="12">
        <f>1-B4</f>
        <v>0.99895092674560748</v>
      </c>
      <c r="D4" s="25">
        <f>J2</f>
        <v>100000</v>
      </c>
      <c r="E4" s="25">
        <f>D4-D5</f>
        <v>104.90732543925697</v>
      </c>
      <c r="F4" s="6" cm="1">
        <f t="array" ref="F4:F96">TDM!E6:E98</f>
        <v>3.496910847975221E-4</v>
      </c>
      <c r="G4" s="37">
        <f>1-F4</f>
        <v>0.99965030891520246</v>
      </c>
      <c r="H4" s="27">
        <f>D4*F4</f>
        <v>34.969108479752208</v>
      </c>
      <c r="I4" s="7" cm="1">
        <f t="array" ref="I4:I96">TDM!F6:F98</f>
        <v>6.993821695950443E-4</v>
      </c>
      <c r="J4" s="38">
        <f>1-I4</f>
        <v>0.99930061783040491</v>
      </c>
      <c r="K4" s="29">
        <f>I4*D4</f>
        <v>69.93821695950443</v>
      </c>
      <c r="L4" s="25">
        <v>100000</v>
      </c>
      <c r="M4" s="25">
        <v>4053259.5427278499</v>
      </c>
      <c r="N4" s="25">
        <v>133517688.27584553</v>
      </c>
      <c r="O4" s="27">
        <v>34.283439686031578</v>
      </c>
      <c r="P4" s="27">
        <v>821.38407658162566</v>
      </c>
      <c r="Q4" s="27">
        <v>4778.9884598824865</v>
      </c>
      <c r="R4" s="29">
        <v>68.56687937206317</v>
      </c>
      <c r="S4" s="29">
        <v>5070.921612957638</v>
      </c>
      <c r="T4" s="29">
        <v>69709.085313647171</v>
      </c>
    </row>
    <row r="5" spans="1:20" x14ac:dyDescent="0.25">
      <c r="A5" s="24">
        <f>A4+1</f>
        <v>1</v>
      </c>
      <c r="B5" s="12">
        <v>3.6645495436797163E-3</v>
      </c>
      <c r="C5" s="12">
        <f t="shared" ref="C5:C68" si="0">1-B5</f>
        <v>0.99633545045632033</v>
      </c>
      <c r="D5" s="25">
        <f>D4*C4</f>
        <v>99895.092674560743</v>
      </c>
      <c r="E5" s="25">
        <f t="shared" ref="E5:E68" si="1">D5-D6</f>
        <v>366.07051627640612</v>
      </c>
      <c r="F5" s="6">
        <v>1.4658198174718866E-3</v>
      </c>
      <c r="G5" s="37">
        <f t="shared" ref="G5:G68" si="2">1-F5</f>
        <v>0.99853418018252815</v>
      </c>
      <c r="H5" s="27">
        <f t="shared" ref="H5:H68" si="3">D5*F5</f>
        <v>146.42820651056181</v>
      </c>
      <c r="I5" s="7">
        <v>2.1987297262078299E-3</v>
      </c>
      <c r="J5" s="38">
        <f t="shared" ref="J5:J68" si="4">1-I5</f>
        <v>0.99780127027379217</v>
      </c>
      <c r="K5" s="29">
        <f t="shared" ref="K5:K68" si="5">I5*D5</f>
        <v>219.64230976584275</v>
      </c>
      <c r="L5" s="25">
        <v>97936.365367216407</v>
      </c>
      <c r="M5" s="25">
        <v>3953259.5427278499</v>
      </c>
      <c r="N5" s="25">
        <v>129464428.73311768</v>
      </c>
      <c r="O5" s="27">
        <v>140.74222079062073</v>
      </c>
      <c r="P5" s="27">
        <v>787.10063689559411</v>
      </c>
      <c r="Q5" s="27">
        <v>3957.6043833008607</v>
      </c>
      <c r="R5" s="29">
        <v>211.11333118593114</v>
      </c>
      <c r="S5" s="29">
        <v>5002.3547335855746</v>
      </c>
      <c r="T5" s="29">
        <v>64638.163700689533</v>
      </c>
    </row>
    <row r="6" spans="1:20" x14ac:dyDescent="0.25">
      <c r="A6" s="24">
        <f t="shared" ref="A6:A69" si="6">A5+1</f>
        <v>2</v>
      </c>
      <c r="B6" s="12">
        <v>4.5245198852938619E-3</v>
      </c>
      <c r="C6" s="12">
        <f t="shared" si="0"/>
        <v>0.9954754801147061</v>
      </c>
      <c r="D6" s="25">
        <f t="shared" ref="D6:D69" si="7">D5*C5</f>
        <v>99529.022158284337</v>
      </c>
      <c r="E6" s="25">
        <f t="shared" si="1"/>
        <v>450.32103991901386</v>
      </c>
      <c r="F6" s="6">
        <v>1.9694968912455633E-3</v>
      </c>
      <c r="G6" s="37">
        <f t="shared" si="2"/>
        <v>0.99803050310875441</v>
      </c>
      <c r="H6" s="27">
        <f t="shared" si="3"/>
        <v>196.02209972945178</v>
      </c>
      <c r="I6" s="7">
        <v>2.5550229940482986E-3</v>
      </c>
      <c r="J6" s="38">
        <f t="shared" si="4"/>
        <v>0.99744497700595169</v>
      </c>
      <c r="K6" s="29">
        <f t="shared" si="5"/>
        <v>254.29894018955912</v>
      </c>
      <c r="L6" s="25">
        <v>95664.188925686598</v>
      </c>
      <c r="M6" s="25">
        <v>3855323.1773606339</v>
      </c>
      <c r="N6" s="25">
        <v>125511169.19038984</v>
      </c>
      <c r="O6" s="27">
        <v>184.71600263987057</v>
      </c>
      <c r="P6" s="27">
        <v>646.35841610497323</v>
      </c>
      <c r="Q6" s="27">
        <v>3170.5037464052666</v>
      </c>
      <c r="R6" s="29">
        <v>239.63157099226456</v>
      </c>
      <c r="S6" s="29">
        <v>4791.2414023996434</v>
      </c>
      <c r="T6" s="29">
        <v>59635.808967103956</v>
      </c>
    </row>
    <row r="7" spans="1:20" x14ac:dyDescent="0.25">
      <c r="A7" s="24">
        <f t="shared" si="6"/>
        <v>3</v>
      </c>
      <c r="B7" s="12">
        <v>3.5743796530143916E-3</v>
      </c>
      <c r="C7" s="12">
        <f t="shared" si="0"/>
        <v>0.99642562034698556</v>
      </c>
      <c r="D7" s="25">
        <f t="shared" si="7"/>
        <v>99078.701118365323</v>
      </c>
      <c r="E7" s="25">
        <f t="shared" si="1"/>
        <v>354.1448933245847</v>
      </c>
      <c r="F7" s="6">
        <v>9.0693215076484565E-4</v>
      </c>
      <c r="G7" s="37">
        <f t="shared" si="2"/>
        <v>0.99909306784923513</v>
      </c>
      <c r="H7" s="27">
        <f t="shared" si="3"/>
        <v>89.857659500266379</v>
      </c>
      <c r="I7" s="7">
        <v>2.6674475022495461E-3</v>
      </c>
      <c r="J7" s="38">
        <f t="shared" si="4"/>
        <v>0.99733255249775044</v>
      </c>
      <c r="K7" s="29">
        <f t="shared" si="5"/>
        <v>264.28723382431286</v>
      </c>
      <c r="L7" s="25">
        <v>93364.072941746868</v>
      </c>
      <c r="M7" s="25">
        <v>3759658.9884349466</v>
      </c>
      <c r="N7" s="25">
        <v>121655846.0130292</v>
      </c>
      <c r="O7" s="27">
        <v>83.014587722769051</v>
      </c>
      <c r="P7" s="27">
        <v>461.64241346510272</v>
      </c>
      <c r="Q7" s="27">
        <v>2524.1453303002936</v>
      </c>
      <c r="R7" s="29">
        <v>244.1605521257913</v>
      </c>
      <c r="S7" s="29">
        <v>4551.6098314073788</v>
      </c>
      <c r="T7" s="29">
        <v>54844.56756470431</v>
      </c>
    </row>
    <row r="8" spans="1:20" x14ac:dyDescent="0.25">
      <c r="A8" s="24">
        <f t="shared" si="6"/>
        <v>4</v>
      </c>
      <c r="B8" s="12">
        <v>4.7315104668085384E-3</v>
      </c>
      <c r="C8" s="12">
        <f t="shared" si="0"/>
        <v>0.99526848953319147</v>
      </c>
      <c r="D8" s="25">
        <f t="shared" si="7"/>
        <v>98724.556225040738</v>
      </c>
      <c r="E8" s="25">
        <f t="shared" si="1"/>
        <v>467.11627110980044</v>
      </c>
      <c r="F8" s="6">
        <v>7.7024588994557602E-4</v>
      </c>
      <c r="G8" s="37">
        <f t="shared" si="2"/>
        <v>0.99922975411005444</v>
      </c>
      <c r="H8" s="27">
        <f t="shared" si="3"/>
        <v>76.042183669038565</v>
      </c>
      <c r="I8" s="7">
        <v>3.9612645768629627E-3</v>
      </c>
      <c r="J8" s="38">
        <f t="shared" si="4"/>
        <v>0.99603873542313703</v>
      </c>
      <c r="K8" s="29">
        <f t="shared" si="5"/>
        <v>391.07408744076974</v>
      </c>
      <c r="L8" s="25">
        <v>91206.229705001315</v>
      </c>
      <c r="M8" s="25">
        <v>3666294.9154932001</v>
      </c>
      <c r="N8" s="25">
        <v>117896187.02459426</v>
      </c>
      <c r="O8" s="27">
        <v>68.873748595793501</v>
      </c>
      <c r="P8" s="27">
        <v>378.6278257423337</v>
      </c>
      <c r="Q8" s="27">
        <v>2062.5029168351907</v>
      </c>
      <c r="R8" s="29">
        <v>354.20784992122373</v>
      </c>
      <c r="S8" s="29">
        <v>4307.4492792815863</v>
      </c>
      <c r="T8" s="29">
        <v>50292.957733296927</v>
      </c>
    </row>
    <row r="9" spans="1:20" x14ac:dyDescent="0.25">
      <c r="A9" s="24">
        <f t="shared" si="6"/>
        <v>5</v>
      </c>
      <c r="B9" s="12">
        <v>4.1806234340954051E-3</v>
      </c>
      <c r="C9" s="12">
        <f t="shared" si="0"/>
        <v>0.99581937656590458</v>
      </c>
      <c r="D9" s="25">
        <f t="shared" si="7"/>
        <v>98257.439953930938</v>
      </c>
      <c r="E9" s="25">
        <f t="shared" si="1"/>
        <v>410.77735604562622</v>
      </c>
      <c r="F9" s="6">
        <v>6.8722576998828577E-4</v>
      </c>
      <c r="G9" s="37">
        <f t="shared" si="2"/>
        <v>0.99931277423001175</v>
      </c>
      <c r="H9" s="27">
        <f t="shared" si="3"/>
        <v>67.525044829417936</v>
      </c>
      <c r="I9" s="7">
        <v>3.4933976641071192E-3</v>
      </c>
      <c r="J9" s="38">
        <f t="shared" si="4"/>
        <v>0.99650660233589283</v>
      </c>
      <c r="K9" s="29">
        <f t="shared" si="5"/>
        <v>343.25231121620789</v>
      </c>
      <c r="L9" s="25">
        <v>88994.790661288207</v>
      </c>
      <c r="M9" s="25">
        <v>3575088.6857881988</v>
      </c>
      <c r="N9" s="25">
        <v>114229892.10910106</v>
      </c>
      <c r="O9" s="27">
        <v>59.960307389362818</v>
      </c>
      <c r="P9" s="27">
        <v>309.75407714654023</v>
      </c>
      <c r="Q9" s="27">
        <v>1683.875091092857</v>
      </c>
      <c r="R9" s="29">
        <v>304.79822922926104</v>
      </c>
      <c r="S9" s="29">
        <v>3953.2414293603624</v>
      </c>
      <c r="T9" s="29">
        <v>45985.50845401534</v>
      </c>
    </row>
    <row r="10" spans="1:20" x14ac:dyDescent="0.25">
      <c r="A10" s="24">
        <f t="shared" si="6"/>
        <v>6</v>
      </c>
      <c r="B10" s="12">
        <v>3.9155268333263887E-3</v>
      </c>
      <c r="C10" s="12">
        <f t="shared" si="0"/>
        <v>0.99608447316667359</v>
      </c>
      <c r="D10" s="25">
        <f t="shared" si="7"/>
        <v>97846.662597885312</v>
      </c>
      <c r="E10" s="25">
        <f t="shared" si="1"/>
        <v>383.121232953461</v>
      </c>
      <c r="F10" s="6">
        <v>6.7869131777657397E-4</v>
      </c>
      <c r="G10" s="37">
        <f t="shared" si="2"/>
        <v>0.99932130868222346</v>
      </c>
      <c r="H10" s="27">
        <f t="shared" si="3"/>
        <v>66.407680378598599</v>
      </c>
      <c r="I10" s="7">
        <v>3.2368355155498151E-3</v>
      </c>
      <c r="J10" s="38">
        <f t="shared" si="4"/>
        <v>0.99676316448445024</v>
      </c>
      <c r="K10" s="29">
        <f t="shared" si="5"/>
        <v>316.71355257485493</v>
      </c>
      <c r="L10" s="25">
        <v>86885.036229350197</v>
      </c>
      <c r="M10" s="25">
        <v>3486093.8951269104</v>
      </c>
      <c r="N10" s="25">
        <v>110654803.42331286</v>
      </c>
      <c r="O10" s="27">
        <v>57.811882091728492</v>
      </c>
      <c r="P10" s="27">
        <v>249.79376975717739</v>
      </c>
      <c r="Q10" s="27">
        <v>1374.1210139463167</v>
      </c>
      <c r="R10" s="29">
        <v>275.7182068990129</v>
      </c>
      <c r="S10" s="29">
        <v>3648.4432001311011</v>
      </c>
      <c r="T10" s="29">
        <v>42032.267024654975</v>
      </c>
    </row>
    <row r="11" spans="1:20" x14ac:dyDescent="0.25">
      <c r="A11" s="24">
        <f t="shared" si="6"/>
        <v>7</v>
      </c>
      <c r="B11" s="12">
        <v>3.5817461999181352E-3</v>
      </c>
      <c r="C11" s="12">
        <f t="shared" si="0"/>
        <v>0.99641825380008187</v>
      </c>
      <c r="D11" s="25">
        <f t="shared" si="7"/>
        <v>97463.541364931851</v>
      </c>
      <c r="E11" s="25">
        <f t="shared" si="1"/>
        <v>349.08966891441378</v>
      </c>
      <c r="F11" s="6">
        <v>4.2980954399017622E-4</v>
      </c>
      <c r="G11" s="37">
        <f t="shared" si="2"/>
        <v>0.99957019045600981</v>
      </c>
      <c r="H11" s="27">
        <f t="shared" si="3"/>
        <v>41.890760269729036</v>
      </c>
      <c r="I11" s="7">
        <v>3.1519366559279592E-3</v>
      </c>
      <c r="J11" s="38">
        <f t="shared" si="4"/>
        <v>0.99684806334407206</v>
      </c>
      <c r="K11" s="29">
        <f t="shared" si="5"/>
        <v>307.19890864467965</v>
      </c>
      <c r="L11" s="25">
        <v>84847.877978999648</v>
      </c>
      <c r="M11" s="25">
        <v>3399208.8588975607</v>
      </c>
      <c r="N11" s="25">
        <v>107168709.52818595</v>
      </c>
      <c r="O11" s="27">
        <v>35.753360532047004</v>
      </c>
      <c r="P11" s="27">
        <v>191.98188766544885</v>
      </c>
      <c r="Q11" s="27">
        <v>1124.3272441891393</v>
      </c>
      <c r="R11" s="29">
        <v>262.19131056834476</v>
      </c>
      <c r="S11" s="29">
        <v>3372.7249932320883</v>
      </c>
      <c r="T11" s="29">
        <v>38383.823824523875</v>
      </c>
    </row>
    <row r="12" spans="1:20" x14ac:dyDescent="0.25">
      <c r="A12" s="24">
        <f t="shared" si="6"/>
        <v>8</v>
      </c>
      <c r="B12" s="12">
        <v>2.9995856372423209E-3</v>
      </c>
      <c r="C12" s="12">
        <f t="shared" si="0"/>
        <v>0.99700041436275766</v>
      </c>
      <c r="D12" s="25">
        <f t="shared" si="7"/>
        <v>97114.451696017437</v>
      </c>
      <c r="E12" s="25">
        <f t="shared" si="1"/>
        <v>291.30311447604618</v>
      </c>
      <c r="F12" s="6">
        <v>3.1030196247334361E-4</v>
      </c>
      <c r="G12" s="37">
        <f t="shared" si="2"/>
        <v>0.99968969803752661</v>
      </c>
      <c r="H12" s="27">
        <f t="shared" si="3"/>
        <v>30.134804945796944</v>
      </c>
      <c r="I12" s="7">
        <v>2.6892836747689775E-3</v>
      </c>
      <c r="J12" s="38">
        <f t="shared" si="4"/>
        <v>0.99731071632523105</v>
      </c>
      <c r="K12" s="29">
        <f t="shared" si="5"/>
        <v>261.16830953024015</v>
      </c>
      <c r="L12" s="25">
        <v>82886.249425958071</v>
      </c>
      <c r="M12" s="25">
        <v>3314360.9809185606</v>
      </c>
      <c r="N12" s="25">
        <v>103769500.66928838</v>
      </c>
      <c r="O12" s="27">
        <v>25.215456724441019</v>
      </c>
      <c r="P12" s="27">
        <v>156.22852713340188</v>
      </c>
      <c r="Q12" s="27">
        <v>932.3453565236905</v>
      </c>
      <c r="R12" s="29">
        <v>218.5339582784888</v>
      </c>
      <c r="S12" s="29">
        <v>3110.5336826637435</v>
      </c>
      <c r="T12" s="29">
        <v>35011.098831291783</v>
      </c>
    </row>
    <row r="13" spans="1:20" x14ac:dyDescent="0.25">
      <c r="A13" s="24">
        <f t="shared" si="6"/>
        <v>9</v>
      </c>
      <c r="B13" s="12">
        <v>3.1411033566686175E-3</v>
      </c>
      <c r="C13" s="12">
        <f t="shared" si="0"/>
        <v>0.99685889664333138</v>
      </c>
      <c r="D13" s="25">
        <f t="shared" si="7"/>
        <v>96823.148581541391</v>
      </c>
      <c r="E13" s="25">
        <f t="shared" si="1"/>
        <v>304.13151701270544</v>
      </c>
      <c r="F13" s="6">
        <v>4.4171765953152423E-4</v>
      </c>
      <c r="G13" s="37">
        <f t="shared" si="2"/>
        <v>0.99955828234046851</v>
      </c>
      <c r="H13" s="27">
        <f t="shared" si="3"/>
        <v>42.768494579911483</v>
      </c>
      <c r="I13" s="7">
        <v>2.6993856971370932E-3</v>
      </c>
      <c r="J13" s="38">
        <f t="shared" si="4"/>
        <v>0.99730061430286288</v>
      </c>
      <c r="K13" s="29">
        <f t="shared" si="5"/>
        <v>261.36302243279243</v>
      </c>
      <c r="L13" s="25">
        <v>81017.279433975564</v>
      </c>
      <c r="M13" s="25">
        <v>3231474.7314926027</v>
      </c>
      <c r="N13" s="25">
        <v>100455139.68836983</v>
      </c>
      <c r="O13" s="27">
        <v>35.085061816850171</v>
      </c>
      <c r="P13" s="27">
        <v>131.01307040896091</v>
      </c>
      <c r="Q13" s="27">
        <v>776.11682939028856</v>
      </c>
      <c r="R13" s="29">
        <v>214.40871110297331</v>
      </c>
      <c r="S13" s="29">
        <v>2891.9997243852549</v>
      </c>
      <c r="T13" s="29">
        <v>31900.56514862804</v>
      </c>
    </row>
    <row r="14" spans="1:20" x14ac:dyDescent="0.25">
      <c r="A14" s="24">
        <f t="shared" si="6"/>
        <v>10</v>
      </c>
      <c r="B14" s="12">
        <v>2.9162739964160213E-3</v>
      </c>
      <c r="C14" s="12">
        <f t="shared" si="0"/>
        <v>0.99708372600358397</v>
      </c>
      <c r="D14" s="25">
        <f t="shared" si="7"/>
        <v>96519.017064528685</v>
      </c>
      <c r="E14" s="25">
        <f t="shared" si="1"/>
        <v>281.47589962491475</v>
      </c>
      <c r="F14" s="6">
        <v>3.7629341889238994E-4</v>
      </c>
      <c r="G14" s="37">
        <f t="shared" si="2"/>
        <v>0.99962370658110766</v>
      </c>
      <c r="H14" s="27">
        <f t="shared" si="3"/>
        <v>36.319470919344425</v>
      </c>
      <c r="I14" s="7">
        <v>2.5399805775236316E-3</v>
      </c>
      <c r="J14" s="38">
        <f t="shared" si="4"/>
        <v>0.99746001942247642</v>
      </c>
      <c r="K14" s="29">
        <f t="shared" si="5"/>
        <v>245.15642870557483</v>
      </c>
      <c r="L14" s="25">
        <v>79179.211554507187</v>
      </c>
      <c r="M14" s="25">
        <v>3150457.4520586268</v>
      </c>
      <c r="N14" s="25">
        <v>97223664.956877217</v>
      </c>
      <c r="O14" s="27">
        <v>29.210408059852291</v>
      </c>
      <c r="P14" s="27">
        <v>95.928008592110714</v>
      </c>
      <c r="Q14" s="27">
        <v>645.1037589813277</v>
      </c>
      <c r="R14" s="29">
        <v>197.17025440400292</v>
      </c>
      <c r="S14" s="29">
        <v>2677.5910132822819</v>
      </c>
      <c r="T14" s="29">
        <v>29008.565424242785</v>
      </c>
    </row>
    <row r="15" spans="1:20" x14ac:dyDescent="0.25">
      <c r="A15" s="24">
        <f t="shared" si="6"/>
        <v>11</v>
      </c>
      <c r="B15" s="12">
        <v>2.1555335781411216E-3</v>
      </c>
      <c r="C15" s="12">
        <f t="shared" si="0"/>
        <v>0.99784446642185887</v>
      </c>
      <c r="D15" s="25">
        <f t="shared" si="7"/>
        <v>96237.541164903771</v>
      </c>
      <c r="E15" s="25">
        <f t="shared" si="1"/>
        <v>207.44325145869516</v>
      </c>
      <c r="F15" s="6">
        <v>1.4370223854274141E-4</v>
      </c>
      <c r="G15" s="37">
        <f t="shared" si="2"/>
        <v>0.99985629776145724</v>
      </c>
      <c r="H15" s="27">
        <f t="shared" si="3"/>
        <v>13.829550097245898</v>
      </c>
      <c r="I15" s="7">
        <v>2.0118313395983802E-3</v>
      </c>
      <c r="J15" s="38">
        <f t="shared" si="4"/>
        <v>0.99798816866040163</v>
      </c>
      <c r="K15" s="29">
        <f t="shared" si="5"/>
        <v>193.61370136144262</v>
      </c>
      <c r="L15" s="25">
        <v>77400.297332151036</v>
      </c>
      <c r="M15" s="25">
        <v>3071278.24050412</v>
      </c>
      <c r="N15" s="25">
        <v>94073207.504818588</v>
      </c>
      <c r="O15" s="27">
        <v>10.904505873043021</v>
      </c>
      <c r="P15" s="27">
        <v>66.71760053225843</v>
      </c>
      <c r="Q15" s="27">
        <v>549.175750389217</v>
      </c>
      <c r="R15" s="29">
        <v>152.66308222260233</v>
      </c>
      <c r="S15" s="29">
        <v>2480.4207588782788</v>
      </c>
      <c r="T15" s="29">
        <v>26330.974410960502</v>
      </c>
    </row>
    <row r="16" spans="1:20" x14ac:dyDescent="0.25">
      <c r="A16" s="24">
        <f t="shared" si="6"/>
        <v>12</v>
      </c>
      <c r="B16" s="12">
        <v>2.2589491922233667E-3</v>
      </c>
      <c r="C16" s="12">
        <f t="shared" si="0"/>
        <v>0.99774105080777664</v>
      </c>
      <c r="D16" s="25">
        <f t="shared" si="7"/>
        <v>96030.097913445075</v>
      </c>
      <c r="E16" s="25">
        <f t="shared" si="1"/>
        <v>216.92711211070127</v>
      </c>
      <c r="F16" s="6">
        <v>1.3830301176877757E-4</v>
      </c>
      <c r="G16" s="37">
        <f t="shared" si="2"/>
        <v>0.99986169698823124</v>
      </c>
      <c r="H16" s="27">
        <f t="shared" si="3"/>
        <v>13.281251761880057</v>
      </c>
      <c r="I16" s="7">
        <v>2.1206461804545891E-3</v>
      </c>
      <c r="J16" s="38">
        <f t="shared" si="4"/>
        <v>0.9978793538195454</v>
      </c>
      <c r="K16" s="29">
        <f t="shared" si="5"/>
        <v>203.64586034882751</v>
      </c>
      <c r="L16" s="25">
        <v>75719.076855189691</v>
      </c>
      <c r="M16" s="25">
        <v>2993877.9431719701</v>
      </c>
      <c r="N16" s="25">
        <v>91001929.264314473</v>
      </c>
      <c r="O16" s="27">
        <v>10.26683958571007</v>
      </c>
      <c r="P16" s="27">
        <v>55.813094659215416</v>
      </c>
      <c r="Q16" s="27">
        <v>482.45814985695853</v>
      </c>
      <c r="R16" s="29">
        <v>157.42487364755439</v>
      </c>
      <c r="S16" s="29">
        <v>2327.7576766556763</v>
      </c>
      <c r="T16" s="29">
        <v>23850.553652082224</v>
      </c>
    </row>
    <row r="17" spans="1:20" x14ac:dyDescent="0.25">
      <c r="A17" s="24">
        <f t="shared" si="6"/>
        <v>13</v>
      </c>
      <c r="B17" s="12">
        <v>2.1019922264961873E-3</v>
      </c>
      <c r="C17" s="12">
        <f t="shared" si="0"/>
        <v>0.99789800777350379</v>
      </c>
      <c r="D17" s="25">
        <f t="shared" si="7"/>
        <v>95813.170801334374</v>
      </c>
      <c r="E17" s="25">
        <f t="shared" si="1"/>
        <v>201.39854022035433</v>
      </c>
      <c r="F17" s="6">
        <v>9.1390966369399451E-5</v>
      </c>
      <c r="G17" s="37">
        <f t="shared" si="2"/>
        <v>0.99990860903363055</v>
      </c>
      <c r="H17" s="27">
        <f t="shared" si="3"/>
        <v>8.7564582704502758</v>
      </c>
      <c r="I17" s="7">
        <v>2.0106012601267876E-3</v>
      </c>
      <c r="J17" s="38">
        <f t="shared" si="4"/>
        <v>0.99798939873987325</v>
      </c>
      <c r="K17" s="29">
        <f t="shared" si="5"/>
        <v>192.64208194990601</v>
      </c>
      <c r="L17" s="25">
        <v>74066.697360482111</v>
      </c>
      <c r="M17" s="25">
        <v>2918158.86631678</v>
      </c>
      <c r="N17" s="25">
        <v>88008051.32114251</v>
      </c>
      <c r="O17" s="27">
        <v>6.6363010270238325</v>
      </c>
      <c r="P17" s="27">
        <v>45.546255073505343</v>
      </c>
      <c r="Q17" s="27">
        <v>426.64505519774309</v>
      </c>
      <c r="R17" s="29">
        <v>145.99862259452428</v>
      </c>
      <c r="S17" s="29">
        <v>2170.3328030081225</v>
      </c>
      <c r="T17" s="29">
        <v>21522.795975426547</v>
      </c>
    </row>
    <row r="18" spans="1:20" x14ac:dyDescent="0.25">
      <c r="A18" s="24">
        <f t="shared" si="6"/>
        <v>14</v>
      </c>
      <c r="B18" s="12">
        <v>2.3098022231846397E-3</v>
      </c>
      <c r="C18" s="12">
        <f t="shared" si="0"/>
        <v>0.99769019777681534</v>
      </c>
      <c r="D18" s="25">
        <f t="shared" si="7"/>
        <v>95611.77226111402</v>
      </c>
      <c r="E18" s="25">
        <f t="shared" si="1"/>
        <v>220.84428413135174</v>
      </c>
      <c r="F18" s="6">
        <v>0</v>
      </c>
      <c r="G18" s="37">
        <f t="shared" si="2"/>
        <v>1</v>
      </c>
      <c r="H18" s="27">
        <f t="shared" si="3"/>
        <v>0</v>
      </c>
      <c r="I18" s="7">
        <v>2.3098022231846397E-3</v>
      </c>
      <c r="J18" s="38">
        <f t="shared" si="4"/>
        <v>0.99769019777681534</v>
      </c>
      <c r="K18" s="29">
        <f t="shared" si="5"/>
        <v>220.84428413134464</v>
      </c>
      <c r="L18" s="25">
        <v>72461.77425332171</v>
      </c>
      <c r="M18" s="25">
        <v>2844092.1689562979</v>
      </c>
      <c r="N18" s="25">
        <v>85089892.454825729</v>
      </c>
      <c r="O18" s="27">
        <v>0</v>
      </c>
      <c r="P18" s="27">
        <v>38.909954046481509</v>
      </c>
      <c r="Q18" s="27">
        <v>381.09880012423775</v>
      </c>
      <c r="R18" s="29">
        <v>164.09055614335878</v>
      </c>
      <c r="S18" s="29">
        <v>2024.3341804135985</v>
      </c>
      <c r="T18" s="29">
        <v>19352.463172418426</v>
      </c>
    </row>
    <row r="19" spans="1:20" x14ac:dyDescent="0.25">
      <c r="A19" s="24">
        <f t="shared" si="6"/>
        <v>15</v>
      </c>
      <c r="B19" s="12">
        <v>2.0462061909633823E-3</v>
      </c>
      <c r="C19" s="12">
        <f t="shared" si="0"/>
        <v>0.99795379380903659</v>
      </c>
      <c r="D19" s="25">
        <f t="shared" si="7"/>
        <v>95390.927976982668</v>
      </c>
      <c r="E19" s="25">
        <f t="shared" si="1"/>
        <v>195.18950738824788</v>
      </c>
      <c r="F19" s="6">
        <v>0</v>
      </c>
      <c r="G19" s="37">
        <f t="shared" si="2"/>
        <v>1</v>
      </c>
      <c r="H19" s="27">
        <f t="shared" si="3"/>
        <v>0</v>
      </c>
      <c r="I19" s="7">
        <v>2.0462061909633823E-3</v>
      </c>
      <c r="J19" s="38">
        <f t="shared" si="4"/>
        <v>0.99795379380903659</v>
      </c>
      <c r="K19" s="29">
        <f t="shared" si="5"/>
        <v>195.18950738824404</v>
      </c>
      <c r="L19" s="25">
        <v>70876.864594172032</v>
      </c>
      <c r="M19" s="25">
        <v>2771630.3947029752</v>
      </c>
      <c r="N19" s="25">
        <v>82245800.285869434</v>
      </c>
      <c r="O19" s="27">
        <v>0</v>
      </c>
      <c r="P19" s="27">
        <v>38.909954046481509</v>
      </c>
      <c r="Q19" s="27">
        <v>342.18884607775624</v>
      </c>
      <c r="R19" s="29">
        <v>142.18497953790995</v>
      </c>
      <c r="S19" s="29">
        <v>1860.2436242702395</v>
      </c>
      <c r="T19" s="29">
        <v>17328.128992004826</v>
      </c>
    </row>
    <row r="20" spans="1:20" x14ac:dyDescent="0.25">
      <c r="A20" s="24">
        <f t="shared" si="6"/>
        <v>16</v>
      </c>
      <c r="B20" s="12">
        <v>2.7732944514152623E-3</v>
      </c>
      <c r="C20" s="12">
        <f t="shared" si="0"/>
        <v>0.99722670554858472</v>
      </c>
      <c r="D20" s="25">
        <f t="shared" si="7"/>
        <v>95195.73846959442</v>
      </c>
      <c r="E20" s="25">
        <f t="shared" si="1"/>
        <v>264.00581329611305</v>
      </c>
      <c r="F20" s="6">
        <v>4.5463843465823975E-5</v>
      </c>
      <c r="G20" s="37">
        <f t="shared" si="2"/>
        <v>0.99995453615653418</v>
      </c>
      <c r="H20" s="27">
        <f t="shared" si="3"/>
        <v>4.3279641523951584</v>
      </c>
      <c r="I20" s="7">
        <v>2.7278306079494383E-3</v>
      </c>
      <c r="J20" s="38">
        <f t="shared" si="4"/>
        <v>0.99727216939205054</v>
      </c>
      <c r="K20" s="29">
        <f t="shared" si="5"/>
        <v>259.67784914370947</v>
      </c>
      <c r="L20" s="25">
        <v>69344.937171611135</v>
      </c>
      <c r="M20" s="25">
        <v>2700753.5301088034</v>
      </c>
      <c r="N20" s="25">
        <v>79474169.891166463</v>
      </c>
      <c r="O20" s="27">
        <v>3.090869969330909</v>
      </c>
      <c r="P20" s="27">
        <v>38.909954046481509</v>
      </c>
      <c r="Q20" s="27">
        <v>303.27889203127472</v>
      </c>
      <c r="R20" s="29">
        <v>185.4521981598545</v>
      </c>
      <c r="S20" s="29">
        <v>1718.0586447323296</v>
      </c>
      <c r="T20" s="29">
        <v>15467.885367734587</v>
      </c>
    </row>
    <row r="21" spans="1:20" x14ac:dyDescent="0.25">
      <c r="A21" s="24">
        <f t="shared" si="6"/>
        <v>17</v>
      </c>
      <c r="B21" s="12">
        <v>2.355301492818884E-3</v>
      </c>
      <c r="C21" s="12">
        <f t="shared" si="0"/>
        <v>0.99764469850718107</v>
      </c>
      <c r="D21" s="25">
        <f t="shared" si="7"/>
        <v>94931.732656298307</v>
      </c>
      <c r="E21" s="25">
        <f t="shared" si="1"/>
        <v>223.59285164126777</v>
      </c>
      <c r="F21" s="6">
        <v>8.7233388622921654E-5</v>
      </c>
      <c r="G21" s="37">
        <f t="shared" si="2"/>
        <v>0.99991276661137707</v>
      </c>
      <c r="H21" s="27">
        <f t="shared" si="3"/>
        <v>8.2812167274541721</v>
      </c>
      <c r="I21" s="7">
        <v>2.2680681041959624E-3</v>
      </c>
      <c r="J21" s="38">
        <f t="shared" si="4"/>
        <v>0.997731931895804</v>
      </c>
      <c r="K21" s="29">
        <f t="shared" si="5"/>
        <v>215.31163491380843</v>
      </c>
      <c r="L21" s="25">
        <v>67796.689453058192</v>
      </c>
      <c r="M21" s="25">
        <v>2631408.5929371924</v>
      </c>
      <c r="N21" s="25">
        <v>76773416.361057654</v>
      </c>
      <c r="O21" s="27">
        <v>5.798171527849175</v>
      </c>
      <c r="P21" s="27">
        <v>35.819084077150599</v>
      </c>
      <c r="Q21" s="27">
        <v>264.36893798479321</v>
      </c>
      <c r="R21" s="29">
        <v>150.75245972407851</v>
      </c>
      <c r="S21" s="29">
        <v>1532.6064465724753</v>
      </c>
      <c r="T21" s="29">
        <v>13749.826723002257</v>
      </c>
    </row>
    <row r="22" spans="1:20" x14ac:dyDescent="0.25">
      <c r="A22" s="24">
        <f t="shared" si="6"/>
        <v>18</v>
      </c>
      <c r="B22" s="12">
        <v>2.0647070250919752E-3</v>
      </c>
      <c r="C22" s="12">
        <f t="shared" si="0"/>
        <v>0.99793529297490802</v>
      </c>
      <c r="D22" s="25">
        <f t="shared" si="7"/>
        <v>94708.139804657039</v>
      </c>
      <c r="E22" s="25">
        <f t="shared" si="1"/>
        <v>195.54456158807443</v>
      </c>
      <c r="F22" s="6">
        <v>1.1687020896747031E-4</v>
      </c>
      <c r="G22" s="37">
        <f t="shared" si="2"/>
        <v>0.99988312979103255</v>
      </c>
      <c r="H22" s="27">
        <f t="shared" si="3"/>
        <v>11.06856008989066</v>
      </c>
      <c r="I22" s="7">
        <v>1.9478368161245051E-3</v>
      </c>
      <c r="J22" s="38">
        <f t="shared" si="4"/>
        <v>0.99805216318387546</v>
      </c>
      <c r="K22" s="29">
        <f t="shared" si="5"/>
        <v>184.47600149817768</v>
      </c>
      <c r="L22" s="25">
        <v>66310.79196978551</v>
      </c>
      <c r="M22" s="25">
        <v>2563611.9034841345</v>
      </c>
      <c r="N22" s="25">
        <v>74142007.768120468</v>
      </c>
      <c r="O22" s="27">
        <v>7.5978001120659648</v>
      </c>
      <c r="P22" s="27">
        <v>30.020912549301418</v>
      </c>
      <c r="Q22" s="27">
        <v>228.54985390764261</v>
      </c>
      <c r="R22" s="29">
        <v>126.6300018677661</v>
      </c>
      <c r="S22" s="29">
        <v>1381.8539868483967</v>
      </c>
      <c r="T22" s="29">
        <v>12217.220276429782</v>
      </c>
    </row>
    <row r="23" spans="1:20" x14ac:dyDescent="0.25">
      <c r="A23" s="24">
        <f t="shared" si="6"/>
        <v>19</v>
      </c>
      <c r="B23" s="12">
        <v>1.5648091802138572E-3</v>
      </c>
      <c r="C23" s="12">
        <f t="shared" si="0"/>
        <v>0.99843519081978616</v>
      </c>
      <c r="D23" s="25">
        <f t="shared" si="7"/>
        <v>94512.595243068965</v>
      </c>
      <c r="E23" s="25">
        <f t="shared" si="1"/>
        <v>147.89417668219539</v>
      </c>
      <c r="F23" s="6">
        <v>0</v>
      </c>
      <c r="G23" s="37">
        <f t="shared" si="2"/>
        <v>1</v>
      </c>
      <c r="H23" s="27">
        <f t="shared" si="3"/>
        <v>0</v>
      </c>
      <c r="I23" s="7">
        <v>1.5648091802138572E-3</v>
      </c>
      <c r="J23" s="38">
        <f t="shared" si="4"/>
        <v>0.99843519081978616</v>
      </c>
      <c r="K23" s="29">
        <f t="shared" si="5"/>
        <v>147.89417668219085</v>
      </c>
      <c r="L23" s="25">
        <v>64876.35256055498</v>
      </c>
      <c r="M23" s="25">
        <v>2497301.111514349</v>
      </c>
      <c r="N23" s="25">
        <v>71578395.864636332</v>
      </c>
      <c r="O23" s="27">
        <v>0</v>
      </c>
      <c r="P23" s="27">
        <v>22.423112437235449</v>
      </c>
      <c r="Q23" s="27">
        <v>198.5289413583412</v>
      </c>
      <c r="R23" s="29">
        <v>99.528541240732565</v>
      </c>
      <c r="S23" s="29">
        <v>1255.2239849806303</v>
      </c>
      <c r="T23" s="29">
        <v>10835.366289581385</v>
      </c>
    </row>
    <row r="24" spans="1:20" x14ac:dyDescent="0.25">
      <c r="A24" s="24">
        <f t="shared" si="6"/>
        <v>20</v>
      </c>
      <c r="B24" s="12">
        <v>1.5203473148977143E-3</v>
      </c>
      <c r="C24" s="12">
        <f t="shared" si="0"/>
        <v>0.9984796526851023</v>
      </c>
      <c r="D24" s="25">
        <f t="shared" si="7"/>
        <v>94364.70106638677</v>
      </c>
      <c r="E24" s="25">
        <f t="shared" si="1"/>
        <v>143.46711988739844</v>
      </c>
      <c r="F24" s="6">
        <v>0</v>
      </c>
      <c r="G24" s="37">
        <f t="shared" si="2"/>
        <v>1</v>
      </c>
      <c r="H24" s="27">
        <f t="shared" si="3"/>
        <v>0</v>
      </c>
      <c r="I24" s="7">
        <v>1.5203473148977143E-3</v>
      </c>
      <c r="J24" s="38">
        <f t="shared" si="4"/>
        <v>0.9984796526851023</v>
      </c>
      <c r="K24" s="29">
        <f t="shared" si="5"/>
        <v>143.4671198874066</v>
      </c>
      <c r="L24" s="25">
        <v>63504.738674989632</v>
      </c>
      <c r="M24" s="25">
        <v>2432424.7589537939</v>
      </c>
      <c r="N24" s="25">
        <v>69081094.753121987</v>
      </c>
      <c r="O24" s="27">
        <v>0</v>
      </c>
      <c r="P24" s="27">
        <v>22.423112437235449</v>
      </c>
      <c r="Q24" s="27">
        <v>176.10582892110574</v>
      </c>
      <c r="R24" s="29">
        <v>94.656136203726973</v>
      </c>
      <c r="S24" s="29">
        <v>1155.6954437398977</v>
      </c>
      <c r="T24" s="29">
        <v>9580.1423046007549</v>
      </c>
    </row>
    <row r="25" spans="1:20" x14ac:dyDescent="0.25">
      <c r="A25" s="24">
        <f t="shared" si="6"/>
        <v>21</v>
      </c>
      <c r="B25" s="12">
        <v>1.8085726021226393E-3</v>
      </c>
      <c r="C25" s="12">
        <f t="shared" si="0"/>
        <v>0.99819142739787736</v>
      </c>
      <c r="D25" s="25">
        <f t="shared" si="7"/>
        <v>94221.233946499371</v>
      </c>
      <c r="E25" s="25">
        <f t="shared" si="1"/>
        <v>170.40594225382665</v>
      </c>
      <c r="F25" s="6">
        <v>4.0190502269391978E-5</v>
      </c>
      <c r="G25" s="37">
        <f t="shared" si="2"/>
        <v>0.99995980949773056</v>
      </c>
      <c r="H25" s="27">
        <f t="shared" si="3"/>
        <v>3.7867987167516954</v>
      </c>
      <c r="I25" s="7">
        <v>1.7683820998532474E-3</v>
      </c>
      <c r="J25" s="38">
        <f t="shared" si="4"/>
        <v>0.99823161790014681</v>
      </c>
      <c r="K25" s="29">
        <f t="shared" si="5"/>
        <v>166.61914353707462</v>
      </c>
      <c r="L25" s="25">
        <v>62164.891584374353</v>
      </c>
      <c r="M25" s="25">
        <v>2368920.0202788049</v>
      </c>
      <c r="N25" s="25">
        <v>66648669.994168192</v>
      </c>
      <c r="O25" s="27">
        <v>2.4494492316650036</v>
      </c>
      <c r="P25" s="27">
        <v>22.423112437235449</v>
      </c>
      <c r="Q25" s="27">
        <v>153.68271648387028</v>
      </c>
      <c r="R25" s="29">
        <v>107.77576619326018</v>
      </c>
      <c r="S25" s="29">
        <v>1061.039307536171</v>
      </c>
      <c r="T25" s="29">
        <v>8424.4468608608568</v>
      </c>
    </row>
    <row r="26" spans="1:20" x14ac:dyDescent="0.25">
      <c r="A26" s="24">
        <f t="shared" si="6"/>
        <v>22</v>
      </c>
      <c r="B26" s="12">
        <v>1.955929131401744E-3</v>
      </c>
      <c r="C26" s="12">
        <f t="shared" si="0"/>
        <v>0.99804407086859825</v>
      </c>
      <c r="D26" s="25">
        <f t="shared" si="7"/>
        <v>94050.828004245544</v>
      </c>
      <c r="E26" s="25">
        <f t="shared" si="1"/>
        <v>183.95675432596181</v>
      </c>
      <c r="F26" s="6">
        <v>4.1615513434079656E-5</v>
      </c>
      <c r="G26" s="37">
        <f t="shared" si="2"/>
        <v>0.99995838448656593</v>
      </c>
      <c r="H26" s="27">
        <f t="shared" si="3"/>
        <v>3.9139734962969954</v>
      </c>
      <c r="I26" s="7">
        <v>1.9143136179676642E-3</v>
      </c>
      <c r="J26" s="38">
        <f t="shared" si="4"/>
        <v>0.99808568638203232</v>
      </c>
      <c r="K26" s="29">
        <f t="shared" si="5"/>
        <v>180.04278082966181</v>
      </c>
      <c r="L26" s="25">
        <v>60835.746926118562</v>
      </c>
      <c r="M26" s="25">
        <v>2306755.1286944305</v>
      </c>
      <c r="N26" s="25">
        <v>64279749.973889388</v>
      </c>
      <c r="O26" s="27">
        <v>2.4820694543883888</v>
      </c>
      <c r="P26" s="27">
        <v>19.973663205570446</v>
      </c>
      <c r="Q26" s="27">
        <v>131.25960404663482</v>
      </c>
      <c r="R26" s="29">
        <v>114.17519490186589</v>
      </c>
      <c r="S26" s="29">
        <v>953.26354134291068</v>
      </c>
      <c r="T26" s="29">
        <v>7363.407553324686</v>
      </c>
    </row>
    <row r="27" spans="1:20" x14ac:dyDescent="0.25">
      <c r="A27" s="24">
        <f t="shared" si="6"/>
        <v>23</v>
      </c>
      <c r="B27" s="12">
        <v>1.4351519640749056E-3</v>
      </c>
      <c r="C27" s="12">
        <f t="shared" si="0"/>
        <v>0.99856484803592505</v>
      </c>
      <c r="D27" s="25">
        <f t="shared" si="7"/>
        <v>93866.871249919583</v>
      </c>
      <c r="E27" s="25">
        <f t="shared" si="1"/>
        <v>134.71322463589604</v>
      </c>
      <c r="F27" s="6">
        <v>0</v>
      </c>
      <c r="G27" s="37">
        <f t="shared" si="2"/>
        <v>1</v>
      </c>
      <c r="H27" s="27">
        <f t="shared" si="3"/>
        <v>0</v>
      </c>
      <c r="I27" s="7">
        <v>1.4351519640749056E-3</v>
      </c>
      <c r="J27" s="38">
        <f t="shared" si="4"/>
        <v>0.99856484803592505</v>
      </c>
      <c r="K27" s="29">
        <f t="shared" si="5"/>
        <v>134.71322463588837</v>
      </c>
      <c r="L27" s="25">
        <v>59526.231878897226</v>
      </c>
      <c r="M27" s="25">
        <v>2245919.3817683118</v>
      </c>
      <c r="N27" s="25">
        <v>61972994.845194958</v>
      </c>
      <c r="O27" s="27">
        <v>0</v>
      </c>
      <c r="P27" s="27">
        <v>17.491593751182059</v>
      </c>
      <c r="Q27" s="27">
        <v>111.28594084106439</v>
      </c>
      <c r="R27" s="29">
        <v>83.754106465664321</v>
      </c>
      <c r="S27" s="29">
        <v>839.08834644104479</v>
      </c>
      <c r="T27" s="29">
        <v>6410.1440119817753</v>
      </c>
    </row>
    <row r="28" spans="1:20" x14ac:dyDescent="0.25">
      <c r="A28" s="24">
        <f t="shared" si="6"/>
        <v>24</v>
      </c>
      <c r="B28" s="12">
        <v>2.0886459219456909E-3</v>
      </c>
      <c r="C28" s="12">
        <f t="shared" si="0"/>
        <v>0.99791135407805431</v>
      </c>
      <c r="D28" s="25">
        <f t="shared" si="7"/>
        <v>93732.158025283687</v>
      </c>
      <c r="E28" s="25">
        <f t="shared" si="1"/>
        <v>195.7732896146772</v>
      </c>
      <c r="F28" s="6">
        <v>9.7146321950962371E-5</v>
      </c>
      <c r="G28" s="37">
        <f t="shared" si="2"/>
        <v>0.99990285367804899</v>
      </c>
      <c r="H28" s="27">
        <f t="shared" si="3"/>
        <v>9.1057344006826906</v>
      </c>
      <c r="I28" s="7">
        <v>1.9914995999947287E-3</v>
      </c>
      <c r="J28" s="38">
        <f t="shared" si="4"/>
        <v>0.99800850040000522</v>
      </c>
      <c r="K28" s="29">
        <f t="shared" si="5"/>
        <v>186.66755521399517</v>
      </c>
      <c r="L28" s="25">
        <v>58275.29675519828</v>
      </c>
      <c r="M28" s="25">
        <v>2186393.1498894142</v>
      </c>
      <c r="N28" s="25">
        <v>59727075.46342665</v>
      </c>
      <c r="O28" s="27">
        <v>5.5502262160474167</v>
      </c>
      <c r="P28" s="27">
        <v>17.491593751182059</v>
      </c>
      <c r="Q28" s="27">
        <v>93.794347089882336</v>
      </c>
      <c r="R28" s="29">
        <v>113.77963742897205</v>
      </c>
      <c r="S28" s="29">
        <v>755.33423997538057</v>
      </c>
      <c r="T28" s="29">
        <v>5571.0556655407308</v>
      </c>
    </row>
    <row r="29" spans="1:20" x14ac:dyDescent="0.25">
      <c r="A29" s="24">
        <f t="shared" si="6"/>
        <v>25</v>
      </c>
      <c r="B29" s="12">
        <v>1.4953969811673442E-3</v>
      </c>
      <c r="C29" s="12">
        <f t="shared" si="0"/>
        <v>0.9985046030188327</v>
      </c>
      <c r="D29" s="25">
        <f t="shared" si="7"/>
        <v>93536.384735669009</v>
      </c>
      <c r="E29" s="25">
        <f t="shared" si="1"/>
        <v>139.87402736302465</v>
      </c>
      <c r="F29" s="6">
        <v>0</v>
      </c>
      <c r="G29" s="37">
        <f t="shared" si="2"/>
        <v>1</v>
      </c>
      <c r="H29" s="27">
        <f t="shared" si="3"/>
        <v>0</v>
      </c>
      <c r="I29" s="7">
        <v>1.4953969811673442E-3</v>
      </c>
      <c r="J29" s="38">
        <f t="shared" si="4"/>
        <v>0.9985046030188327</v>
      </c>
      <c r="K29" s="29">
        <f t="shared" si="5"/>
        <v>139.8740273630267</v>
      </c>
      <c r="L29" s="25">
        <v>57013.314014000352</v>
      </c>
      <c r="M29" s="25">
        <v>2128117.8531342158</v>
      </c>
      <c r="N29" s="25">
        <v>57540682.313537233</v>
      </c>
      <c r="O29" s="27">
        <v>0</v>
      </c>
      <c r="P29" s="27">
        <v>11.941367535134644</v>
      </c>
      <c r="Q29" s="27">
        <v>76.302753338700285</v>
      </c>
      <c r="R29" s="29">
        <v>83.585821238119578</v>
      </c>
      <c r="S29" s="29">
        <v>641.55460254640855</v>
      </c>
      <c r="T29" s="29">
        <v>4815.7214255653507</v>
      </c>
    </row>
    <row r="30" spans="1:20" x14ac:dyDescent="0.25">
      <c r="A30" s="24">
        <f t="shared" si="6"/>
        <v>26</v>
      </c>
      <c r="B30" s="12">
        <v>1.3275136793305614E-3</v>
      </c>
      <c r="C30" s="12">
        <f t="shared" si="0"/>
        <v>0.99867248632066941</v>
      </c>
      <c r="D30" s="25">
        <f t="shared" si="7"/>
        <v>93396.510708305985</v>
      </c>
      <c r="E30" s="25">
        <f t="shared" si="1"/>
        <v>123.98514556702867</v>
      </c>
      <c r="F30" s="6">
        <v>1.2068306175732377E-4</v>
      </c>
      <c r="G30" s="37">
        <f t="shared" si="2"/>
        <v>0.99987931693824272</v>
      </c>
      <c r="H30" s="27">
        <f t="shared" si="3"/>
        <v>11.271376869729041</v>
      </c>
      <c r="I30" s="7">
        <v>1.2068306175732377E-3</v>
      </c>
      <c r="J30" s="38">
        <f t="shared" si="4"/>
        <v>0.99879316938242679</v>
      </c>
      <c r="K30" s="29">
        <f t="shared" si="5"/>
        <v>112.71376869729042</v>
      </c>
      <c r="L30" s="25">
        <v>55811.82007484066</v>
      </c>
      <c r="M30" s="25">
        <v>2071104.5391202152</v>
      </c>
      <c r="N30" s="25">
        <v>55412564.460403018</v>
      </c>
      <c r="O30" s="27">
        <v>6.6034718910594483</v>
      </c>
      <c r="P30" s="27">
        <v>11.941367535134644</v>
      </c>
      <c r="Q30" s="27">
        <v>64.361385803565639</v>
      </c>
      <c r="R30" s="29">
        <v>66.034718910594492</v>
      </c>
      <c r="S30" s="29">
        <v>557.96878130828907</v>
      </c>
      <c r="T30" s="29">
        <v>4174.1668230189425</v>
      </c>
    </row>
    <row r="31" spans="1:20" x14ac:dyDescent="0.25">
      <c r="A31" s="24">
        <f t="shared" si="6"/>
        <v>27</v>
      </c>
      <c r="B31" s="12">
        <v>1.5286829189798052E-3</v>
      </c>
      <c r="C31" s="12">
        <f t="shared" si="0"/>
        <v>0.99847131708102022</v>
      </c>
      <c r="D31" s="25">
        <f t="shared" si="7"/>
        <v>93272.525562738956</v>
      </c>
      <c r="E31" s="25">
        <f t="shared" si="1"/>
        <v>142.58411663786683</v>
      </c>
      <c r="F31" s="6">
        <v>0</v>
      </c>
      <c r="G31" s="37">
        <f t="shared" si="2"/>
        <v>1</v>
      </c>
      <c r="H31" s="27">
        <f t="shared" si="3"/>
        <v>0</v>
      </c>
      <c r="I31" s="7">
        <v>1.5286829189798052E-3</v>
      </c>
      <c r="J31" s="38">
        <f t="shared" si="4"/>
        <v>0.99847131708102022</v>
      </c>
      <c r="K31" s="29">
        <f t="shared" si="5"/>
        <v>142.58411663786629</v>
      </c>
      <c r="L31" s="25">
        <v>54644.832470806825</v>
      </c>
      <c r="M31" s="25">
        <v>2015292.7190453743</v>
      </c>
      <c r="N31" s="25">
        <v>53341459.921282806</v>
      </c>
      <c r="O31" s="27">
        <v>0</v>
      </c>
      <c r="P31" s="27">
        <v>5.3378956440751955</v>
      </c>
      <c r="Q31" s="27">
        <v>52.420018268431001</v>
      </c>
      <c r="R31" s="29">
        <v>81.89668824376021</v>
      </c>
      <c r="S31" s="29">
        <v>491.93406239769445</v>
      </c>
      <c r="T31" s="29">
        <v>3616.1980417106538</v>
      </c>
    </row>
    <row r="32" spans="1:20" x14ac:dyDescent="0.25">
      <c r="A32" s="24">
        <f t="shared" si="6"/>
        <v>28</v>
      </c>
      <c r="B32" s="12">
        <v>1.0059754944369555E-3</v>
      </c>
      <c r="C32" s="12">
        <f t="shared" si="0"/>
        <v>0.99899402450556307</v>
      </c>
      <c r="D32" s="25">
        <f t="shared" si="7"/>
        <v>93129.941446101089</v>
      </c>
      <c r="E32" s="25">
        <f t="shared" si="1"/>
        <v>93.68643889312807</v>
      </c>
      <c r="F32" s="6">
        <v>0</v>
      </c>
      <c r="G32" s="37">
        <f t="shared" si="2"/>
        <v>1</v>
      </c>
      <c r="H32" s="27">
        <f t="shared" si="3"/>
        <v>0</v>
      </c>
      <c r="I32" s="7">
        <v>1.0059754944369555E-3</v>
      </c>
      <c r="J32" s="38">
        <f t="shared" si="4"/>
        <v>0.99899402450556307</v>
      </c>
      <c r="K32" s="29">
        <f t="shared" si="5"/>
        <v>93.686438893126251</v>
      </c>
      <c r="L32" s="25">
        <v>53491.468479213909</v>
      </c>
      <c r="M32" s="25">
        <v>1960647.8865745675</v>
      </c>
      <c r="N32" s="25">
        <v>51326167.202237435</v>
      </c>
      <c r="O32" s="27">
        <v>0</v>
      </c>
      <c r="P32" s="27">
        <v>5.3378956440751955</v>
      </c>
      <c r="Q32" s="27">
        <v>47.082122624355804</v>
      </c>
      <c r="R32" s="29">
        <v>52.755986717192187</v>
      </c>
      <c r="S32" s="29">
        <v>410.03737415393425</v>
      </c>
      <c r="T32" s="29">
        <v>3124.2639793129592</v>
      </c>
    </row>
    <row r="33" spans="1:20" x14ac:dyDescent="0.25">
      <c r="A33" s="24">
        <f t="shared" si="6"/>
        <v>29</v>
      </c>
      <c r="B33" s="12">
        <v>9.2553469749099605E-4</v>
      </c>
      <c r="C33" s="12">
        <f t="shared" si="0"/>
        <v>0.99907446530250898</v>
      </c>
      <c r="D33" s="25">
        <f t="shared" si="7"/>
        <v>93036.255007207961</v>
      </c>
      <c r="E33" s="25">
        <f t="shared" si="1"/>
        <v>86.108282133791363</v>
      </c>
      <c r="F33" s="6">
        <v>0</v>
      </c>
      <c r="G33" s="37">
        <f t="shared" si="2"/>
        <v>1</v>
      </c>
      <c r="H33" s="27">
        <f t="shared" si="3"/>
        <v>0</v>
      </c>
      <c r="I33" s="7">
        <v>9.2553469749099605E-4</v>
      </c>
      <c r="J33" s="38">
        <f t="shared" si="4"/>
        <v>0.99907446530250898</v>
      </c>
      <c r="K33" s="29">
        <f t="shared" si="5"/>
        <v>86.108282133791391</v>
      </c>
      <c r="L33" s="25">
        <v>52389.860169374871</v>
      </c>
      <c r="M33" s="25">
        <v>1907156.4180953538</v>
      </c>
      <c r="N33" s="25">
        <v>49365519.315662868</v>
      </c>
      <c r="O33" s="27">
        <v>0</v>
      </c>
      <c r="P33" s="27">
        <v>5.3378956440751955</v>
      </c>
      <c r="Q33" s="27">
        <v>41.744226980280608</v>
      </c>
      <c r="R33" s="29">
        <v>47.537875866135252</v>
      </c>
      <c r="S33" s="29">
        <v>357.28138743674202</v>
      </c>
      <c r="T33" s="29">
        <v>2714.226605159025</v>
      </c>
    </row>
    <row r="34" spans="1:20" x14ac:dyDescent="0.25">
      <c r="A34" s="24">
        <f t="shared" si="6"/>
        <v>30</v>
      </c>
      <c r="B34" s="12">
        <v>6.4394091450810094E-4</v>
      </c>
      <c r="C34" s="12">
        <f t="shared" si="0"/>
        <v>0.99935605908549185</v>
      </c>
      <c r="D34" s="25">
        <f t="shared" si="7"/>
        <v>92950.14672507417</v>
      </c>
      <c r="E34" s="25">
        <f t="shared" si="1"/>
        <v>59.854402485812898</v>
      </c>
      <c r="F34" s="6">
        <v>4.0246307156756315E-5</v>
      </c>
      <c r="G34" s="37">
        <f t="shared" si="2"/>
        <v>0.99995975369284329</v>
      </c>
      <c r="H34" s="27">
        <f t="shared" si="3"/>
        <v>3.740900155362902</v>
      </c>
      <c r="I34" s="7">
        <v>6.0369460735134467E-4</v>
      </c>
      <c r="J34" s="38">
        <f t="shared" si="4"/>
        <v>0.99939630539264868</v>
      </c>
      <c r="K34" s="29">
        <f t="shared" si="5"/>
        <v>56.113502330443524</v>
      </c>
      <c r="L34" s="25">
        <v>51315.070133324916</v>
      </c>
      <c r="M34" s="25">
        <v>1854766.5579259787</v>
      </c>
      <c r="N34" s="25">
        <v>47458362.897567518</v>
      </c>
      <c r="O34" s="27">
        <v>2.0247471317218499</v>
      </c>
      <c r="P34" s="27">
        <v>5.3378956440751955</v>
      </c>
      <c r="Q34" s="27">
        <v>36.406331336205412</v>
      </c>
      <c r="R34" s="29">
        <v>30.371206975827743</v>
      </c>
      <c r="S34" s="29">
        <v>309.7435115706067</v>
      </c>
      <c r="T34" s="29">
        <v>2356.9452177222829</v>
      </c>
    </row>
    <row r="35" spans="1:20" x14ac:dyDescent="0.25">
      <c r="A35" s="24">
        <f t="shared" si="6"/>
        <v>31</v>
      </c>
      <c r="B35" s="12">
        <v>5.6349366069631719E-4</v>
      </c>
      <c r="C35" s="12">
        <f t="shared" si="0"/>
        <v>0.9994365063393037</v>
      </c>
      <c r="D35" s="25">
        <f t="shared" si="7"/>
        <v>92890.292322588357</v>
      </c>
      <c r="E35" s="25">
        <f t="shared" si="1"/>
        <v>52.34309086400026</v>
      </c>
      <c r="F35" s="6">
        <v>0</v>
      </c>
      <c r="G35" s="37">
        <f t="shared" si="2"/>
        <v>1</v>
      </c>
      <c r="H35" s="27">
        <f t="shared" si="3"/>
        <v>0</v>
      </c>
      <c r="I35" s="7">
        <v>5.6349366069631719E-4</v>
      </c>
      <c r="J35" s="38">
        <f t="shared" si="4"/>
        <v>0.9994365063393037</v>
      </c>
      <c r="K35" s="29">
        <f t="shared" si="5"/>
        <v>52.343090864006321</v>
      </c>
      <c r="L35" s="25">
        <v>50276.496333465897</v>
      </c>
      <c r="M35" s="25">
        <v>1803451.4877926537</v>
      </c>
      <c r="N35" s="25">
        <v>45603596.339641541</v>
      </c>
      <c r="O35" s="27">
        <v>0</v>
      </c>
      <c r="P35" s="27">
        <v>3.3131485123533455</v>
      </c>
      <c r="Q35" s="27">
        <v>31.068435692130215</v>
      </c>
      <c r="R35" s="29">
        <v>27.774987221499675</v>
      </c>
      <c r="S35" s="29">
        <v>279.37230459477894</v>
      </c>
      <c r="T35" s="29">
        <v>2047.2017061516763</v>
      </c>
    </row>
    <row r="36" spans="1:20" x14ac:dyDescent="0.25">
      <c r="A36" s="24">
        <f t="shared" si="6"/>
        <v>32</v>
      </c>
      <c r="B36" s="12">
        <v>6.8420099410379726E-4</v>
      </c>
      <c r="C36" s="12">
        <f t="shared" si="0"/>
        <v>0.99931579900589618</v>
      </c>
      <c r="D36" s="25">
        <f t="shared" si="7"/>
        <v>92837.949231724357</v>
      </c>
      <c r="E36" s="25">
        <f t="shared" si="1"/>
        <v>63.519817154912744</v>
      </c>
      <c r="F36" s="6">
        <v>0</v>
      </c>
      <c r="G36" s="37">
        <f t="shared" si="2"/>
        <v>1</v>
      </c>
      <c r="H36" s="27">
        <f t="shared" si="3"/>
        <v>0</v>
      </c>
      <c r="I36" s="7">
        <v>6.8420099410379726E-4</v>
      </c>
      <c r="J36" s="38">
        <f t="shared" si="4"/>
        <v>0.99931579900589618</v>
      </c>
      <c r="K36" s="29">
        <f t="shared" si="5"/>
        <v>63.519817154903663</v>
      </c>
      <c r="L36" s="25">
        <v>49262.90769264703</v>
      </c>
      <c r="M36" s="25">
        <v>1753174.9914591878</v>
      </c>
      <c r="N36" s="25">
        <v>43800144.851848885</v>
      </c>
      <c r="O36" s="27">
        <v>0</v>
      </c>
      <c r="P36" s="27">
        <v>3.3131485123533455</v>
      </c>
      <c r="Q36" s="27">
        <v>27.755287179776872</v>
      </c>
      <c r="R36" s="29">
        <v>33.044833740934017</v>
      </c>
      <c r="S36" s="29">
        <v>251.59731737327931</v>
      </c>
      <c r="T36" s="29">
        <v>1767.8294015568974</v>
      </c>
    </row>
    <row r="37" spans="1:20" x14ac:dyDescent="0.25">
      <c r="A37" s="24">
        <f t="shared" si="6"/>
        <v>33</v>
      </c>
      <c r="B37" s="12">
        <v>5.232546413411382E-4</v>
      </c>
      <c r="C37" s="12">
        <f t="shared" si="0"/>
        <v>0.99947674535865882</v>
      </c>
      <c r="D37" s="25">
        <f t="shared" si="7"/>
        <v>92774.429414569444</v>
      </c>
      <c r="E37" s="25">
        <f t="shared" si="1"/>
        <v>48.54465078895737</v>
      </c>
      <c r="F37" s="6">
        <v>4.0250357026241398E-5</v>
      </c>
      <c r="G37" s="37">
        <f t="shared" si="2"/>
        <v>0.99995974964297374</v>
      </c>
      <c r="H37" s="27">
        <f t="shared" si="3"/>
        <v>3.7342039068422519</v>
      </c>
      <c r="I37" s="7">
        <v>4.8300428431489681E-4</v>
      </c>
      <c r="J37" s="38">
        <f t="shared" si="4"/>
        <v>0.99951699571568509</v>
      </c>
      <c r="K37" s="29">
        <f t="shared" si="5"/>
        <v>44.810446882107023</v>
      </c>
      <c r="L37" s="25">
        <v>48263.923492383597</v>
      </c>
      <c r="M37" s="25">
        <v>1703912.0837665407</v>
      </c>
      <c r="N37" s="25">
        <v>42046969.860389695</v>
      </c>
      <c r="O37" s="27">
        <v>1.9045491686819995</v>
      </c>
      <c r="P37" s="27">
        <v>3.3131485123533455</v>
      </c>
      <c r="Q37" s="27">
        <v>24.442138667423528</v>
      </c>
      <c r="R37" s="29">
        <v>22.854590024183995</v>
      </c>
      <c r="S37" s="29">
        <v>218.55248363234529</v>
      </c>
      <c r="T37" s="29">
        <v>1516.2320841836181</v>
      </c>
    </row>
    <row r="38" spans="1:20" x14ac:dyDescent="0.25">
      <c r="A38" s="24">
        <f t="shared" si="6"/>
        <v>34</v>
      </c>
      <c r="B38" s="12">
        <v>6.0375535832880519E-4</v>
      </c>
      <c r="C38" s="12">
        <f t="shared" si="0"/>
        <v>0.99939624464167121</v>
      </c>
      <c r="D38" s="25">
        <f t="shared" si="7"/>
        <v>92725.884763780487</v>
      </c>
      <c r="E38" s="25">
        <f t="shared" si="1"/>
        <v>55.983749781909864</v>
      </c>
      <c r="F38" s="6">
        <v>0</v>
      </c>
      <c r="G38" s="37">
        <f t="shared" si="2"/>
        <v>1</v>
      </c>
      <c r="H38" s="27">
        <f t="shared" si="3"/>
        <v>0</v>
      </c>
      <c r="I38" s="7">
        <v>6.0375535832880519E-4</v>
      </c>
      <c r="J38" s="38">
        <f t="shared" si="4"/>
        <v>0.99939624464167121</v>
      </c>
      <c r="K38" s="29">
        <f t="shared" si="5"/>
        <v>55.983749781911783</v>
      </c>
      <c r="L38" s="25">
        <v>47292.812912163601</v>
      </c>
      <c r="M38" s="25">
        <v>1655648.1602741573</v>
      </c>
      <c r="N38" s="25">
        <v>40343057.776623152</v>
      </c>
      <c r="O38" s="27">
        <v>0</v>
      </c>
      <c r="P38" s="27">
        <v>1.408599343671346</v>
      </c>
      <c r="Q38" s="27">
        <v>21.128990155070184</v>
      </c>
      <c r="R38" s="29">
        <v>27.993420790353408</v>
      </c>
      <c r="S38" s="29">
        <v>195.69789360816134</v>
      </c>
      <c r="T38" s="29">
        <v>1297.6796005512729</v>
      </c>
    </row>
    <row r="39" spans="1:20" x14ac:dyDescent="0.25">
      <c r="A39" s="24">
        <f t="shared" si="6"/>
        <v>35</v>
      </c>
      <c r="B39" s="12">
        <v>3.2204822672195161E-4</v>
      </c>
      <c r="C39" s="12">
        <f t="shared" si="0"/>
        <v>0.99967795177327801</v>
      </c>
      <c r="D39" s="25">
        <f t="shared" si="7"/>
        <v>92669.901013998577</v>
      </c>
      <c r="E39" s="25">
        <f t="shared" si="1"/>
        <v>29.84417729206325</v>
      </c>
      <c r="F39" s="6">
        <v>0</v>
      </c>
      <c r="G39" s="37">
        <f t="shared" si="2"/>
        <v>1</v>
      </c>
      <c r="H39" s="27">
        <f t="shared" si="3"/>
        <v>0</v>
      </c>
      <c r="I39" s="7">
        <v>3.2204822672195161E-4</v>
      </c>
      <c r="J39" s="38">
        <f t="shared" si="4"/>
        <v>0.99967795177327801</v>
      </c>
      <c r="K39" s="29">
        <f t="shared" si="5"/>
        <v>29.844177292057026</v>
      </c>
      <c r="L39" s="25">
        <v>46337.509434271997</v>
      </c>
      <c r="M39" s="25">
        <v>1608355.3473619937</v>
      </c>
      <c r="N39" s="25">
        <v>38687409.616348997</v>
      </c>
      <c r="O39" s="27">
        <v>0</v>
      </c>
      <c r="P39" s="27">
        <v>1.408599343671346</v>
      </c>
      <c r="Q39" s="27">
        <v>19.72039081139884</v>
      </c>
      <c r="R39" s="29">
        <v>14.630306611783332</v>
      </c>
      <c r="S39" s="29">
        <v>167.70447281780795</v>
      </c>
      <c r="T39" s="29">
        <v>1101.9817069431115</v>
      </c>
    </row>
    <row r="40" spans="1:20" x14ac:dyDescent="0.25">
      <c r="A40" s="24">
        <f t="shared" si="6"/>
        <v>36</v>
      </c>
      <c r="B40" s="12">
        <v>4.8303345006641703E-4</v>
      </c>
      <c r="C40" s="12">
        <f t="shared" si="0"/>
        <v>0.99951696654993361</v>
      </c>
      <c r="D40" s="25">
        <f t="shared" si="7"/>
        <v>92640.056836706513</v>
      </c>
      <c r="E40" s="25">
        <f t="shared" si="1"/>
        <v>44.748246268180083</v>
      </c>
      <c r="F40" s="6">
        <v>0</v>
      </c>
      <c r="G40" s="37">
        <f t="shared" si="2"/>
        <v>1</v>
      </c>
      <c r="H40" s="27">
        <f t="shared" si="3"/>
        <v>0</v>
      </c>
      <c r="I40" s="7">
        <v>4.8303345006641703E-4</v>
      </c>
      <c r="J40" s="38">
        <f t="shared" si="4"/>
        <v>0.99951696654993361</v>
      </c>
      <c r="K40" s="29">
        <f t="shared" si="5"/>
        <v>44.748246268183308</v>
      </c>
      <c r="L40" s="25">
        <v>45414.300511301939</v>
      </c>
      <c r="M40" s="25">
        <v>1562017.8379277217</v>
      </c>
      <c r="N40" s="25">
        <v>37079054.268987</v>
      </c>
      <c r="O40" s="27">
        <v>0</v>
      </c>
      <c r="P40" s="27">
        <v>1.408599343671346</v>
      </c>
      <c r="Q40" s="27">
        <v>18.311791467727495</v>
      </c>
      <c r="R40" s="29">
        <v>21.506496331693349</v>
      </c>
      <c r="S40" s="29">
        <v>153.07416620602459</v>
      </c>
      <c r="T40" s="29">
        <v>934.27723412530349</v>
      </c>
    </row>
    <row r="41" spans="1:20" x14ac:dyDescent="0.25">
      <c r="A41" s="24">
        <f t="shared" si="6"/>
        <v>37</v>
      </c>
      <c r="B41" s="12">
        <v>3.2204822672195161E-4</v>
      </c>
      <c r="C41" s="12">
        <f t="shared" si="0"/>
        <v>0.99967795177327801</v>
      </c>
      <c r="D41" s="25">
        <f t="shared" si="7"/>
        <v>92595.308590438333</v>
      </c>
      <c r="E41" s="25">
        <f t="shared" si="1"/>
        <v>29.820154934321181</v>
      </c>
      <c r="F41" s="6">
        <v>0</v>
      </c>
      <c r="G41" s="37">
        <f t="shared" si="2"/>
        <v>1</v>
      </c>
      <c r="H41" s="27">
        <f t="shared" si="3"/>
        <v>0</v>
      </c>
      <c r="I41" s="7">
        <v>3.2204822672195161E-4</v>
      </c>
      <c r="J41" s="38">
        <f t="shared" si="4"/>
        <v>0.99967795177327801</v>
      </c>
      <c r="K41" s="29">
        <f t="shared" si="5"/>
        <v>29.820154934322559</v>
      </c>
      <c r="L41" s="25">
        <v>44502.317534356473</v>
      </c>
      <c r="M41" s="25">
        <v>1516603.5374164197</v>
      </c>
      <c r="N41" s="25">
        <v>35517036.431059279</v>
      </c>
      <c r="O41" s="27">
        <v>0</v>
      </c>
      <c r="P41" s="27">
        <v>1.408599343671346</v>
      </c>
      <c r="Q41" s="27">
        <v>16.903192124056151</v>
      </c>
      <c r="R41" s="29">
        <v>14.050874947996784</v>
      </c>
      <c r="S41" s="29">
        <v>131.56766987433122</v>
      </c>
      <c r="T41" s="29">
        <v>781.20306791927896</v>
      </c>
    </row>
    <row r="42" spans="1:20" x14ac:dyDescent="0.25">
      <c r="A42" s="24">
        <f t="shared" si="6"/>
        <v>38</v>
      </c>
      <c r="B42" s="12">
        <v>2.8179787041323641E-4</v>
      </c>
      <c r="C42" s="12">
        <f t="shared" si="0"/>
        <v>0.99971820212958673</v>
      </c>
      <c r="D42" s="25">
        <f t="shared" si="7"/>
        <v>92565.488435504012</v>
      </c>
      <c r="E42" s="25">
        <f t="shared" si="1"/>
        <v>26.084757514894591</v>
      </c>
      <c r="F42" s="6">
        <v>0</v>
      </c>
      <c r="G42" s="37">
        <f t="shared" si="2"/>
        <v>1</v>
      </c>
      <c r="H42" s="27">
        <f t="shared" si="3"/>
        <v>0</v>
      </c>
      <c r="I42" s="7">
        <v>2.8179787041323641E-4</v>
      </c>
      <c r="J42" s="38">
        <f t="shared" si="4"/>
        <v>0.99971820212958673</v>
      </c>
      <c r="K42" s="29">
        <f t="shared" si="5"/>
        <v>26.084757514886093</v>
      </c>
      <c r="L42" s="25">
        <v>43615.672197950516</v>
      </c>
      <c r="M42" s="25">
        <v>1472101.2198820631</v>
      </c>
      <c r="N42" s="25">
        <v>34000432.893642858</v>
      </c>
      <c r="O42" s="27">
        <v>0</v>
      </c>
      <c r="P42" s="27">
        <v>1.408599343671346</v>
      </c>
      <c r="Q42" s="27">
        <v>15.494592780384806</v>
      </c>
      <c r="R42" s="29">
        <v>12.049807394141428</v>
      </c>
      <c r="S42" s="29">
        <v>117.51679492633443</v>
      </c>
      <c r="T42" s="29">
        <v>649.63539804494781</v>
      </c>
    </row>
    <row r="43" spans="1:20" x14ac:dyDescent="0.25">
      <c r="A43" s="24">
        <f t="shared" si="6"/>
        <v>39</v>
      </c>
      <c r="B43" s="12">
        <v>3.6229696274379567E-4</v>
      </c>
      <c r="C43" s="12">
        <f t="shared" si="0"/>
        <v>0.99963770303725619</v>
      </c>
      <c r="D43" s="25">
        <f t="shared" si="7"/>
        <v>92539.403677989118</v>
      </c>
      <c r="E43" s="25">
        <f t="shared" si="1"/>
        <v>33.526744886665256</v>
      </c>
      <c r="F43" s="6">
        <v>0</v>
      </c>
      <c r="G43" s="37">
        <f t="shared" si="2"/>
        <v>1</v>
      </c>
      <c r="H43" s="27">
        <f t="shared" si="3"/>
        <v>0</v>
      </c>
      <c r="I43" s="7">
        <v>3.6229696274379567E-4</v>
      </c>
      <c r="J43" s="38">
        <f t="shared" si="4"/>
        <v>0.99963770303725619</v>
      </c>
      <c r="K43" s="29">
        <f t="shared" si="5"/>
        <v>33.52674488665749</v>
      </c>
      <c r="L43" s="25">
        <v>42748.413131773021</v>
      </c>
      <c r="M43" s="25">
        <v>1428485.5476841126</v>
      </c>
      <c r="N43" s="25">
        <v>32528331.673760794</v>
      </c>
      <c r="O43" s="27">
        <v>0</v>
      </c>
      <c r="P43" s="27">
        <v>1.408599343671346</v>
      </c>
      <c r="Q43" s="27">
        <v>14.08599343671346</v>
      </c>
      <c r="R43" s="29">
        <v>15.183941411527799</v>
      </c>
      <c r="S43" s="29">
        <v>105.466987532193</v>
      </c>
      <c r="T43" s="29">
        <v>532.11860311861335</v>
      </c>
    </row>
    <row r="44" spans="1:20" x14ac:dyDescent="0.25">
      <c r="A44" s="24">
        <f t="shared" si="6"/>
        <v>40</v>
      </c>
      <c r="B44" s="12">
        <v>3.6229696274379567E-4</v>
      </c>
      <c r="C44" s="12">
        <f t="shared" si="0"/>
        <v>0.99963770303725619</v>
      </c>
      <c r="D44" s="25">
        <f t="shared" si="7"/>
        <v>92505.876933102452</v>
      </c>
      <c r="E44" s="25">
        <f t="shared" si="1"/>
        <v>33.514598248817492</v>
      </c>
      <c r="F44" s="6">
        <v>0</v>
      </c>
      <c r="G44" s="37">
        <f t="shared" si="2"/>
        <v>1</v>
      </c>
      <c r="H44" s="27">
        <f t="shared" si="3"/>
        <v>0</v>
      </c>
      <c r="I44" s="7">
        <v>3.6229696274379567E-4</v>
      </c>
      <c r="J44" s="38">
        <f t="shared" si="4"/>
        <v>0.99963770303725619</v>
      </c>
      <c r="K44" s="29">
        <f t="shared" si="5"/>
        <v>33.514598248814366</v>
      </c>
      <c r="L44" s="25">
        <v>41895.025011307116</v>
      </c>
      <c r="M44" s="25">
        <v>1385737.1345523396</v>
      </c>
      <c r="N44" s="25">
        <v>31099846.126076683</v>
      </c>
      <c r="O44" s="27">
        <v>0</v>
      </c>
      <c r="P44" s="27">
        <v>1.408599343671346</v>
      </c>
      <c r="Q44" s="27">
        <v>12.677394093042114</v>
      </c>
      <c r="R44" s="29">
        <v>14.88082383889404</v>
      </c>
      <c r="S44" s="29">
        <v>90.283046120665205</v>
      </c>
      <c r="T44" s="29">
        <v>426.65161558642035</v>
      </c>
    </row>
    <row r="45" spans="1:20" x14ac:dyDescent="0.25">
      <c r="A45" s="24">
        <f t="shared" si="6"/>
        <v>41</v>
      </c>
      <c r="B45" s="12">
        <v>4.0254407857660417E-4</v>
      </c>
      <c r="C45" s="12">
        <f t="shared" si="0"/>
        <v>0.99959745592142335</v>
      </c>
      <c r="D45" s="25">
        <f t="shared" si="7"/>
        <v>92472.362334853635</v>
      </c>
      <c r="E45" s="25">
        <f t="shared" si="1"/>
        <v>37.224201889883261</v>
      </c>
      <c r="F45" s="6">
        <v>0</v>
      </c>
      <c r="G45" s="37">
        <f t="shared" si="2"/>
        <v>1</v>
      </c>
      <c r="H45" s="27">
        <f t="shared" si="3"/>
        <v>0</v>
      </c>
      <c r="I45" s="7">
        <v>4.0254407857660417E-4</v>
      </c>
      <c r="J45" s="38">
        <f t="shared" si="4"/>
        <v>0.99959745592142335</v>
      </c>
      <c r="K45" s="29">
        <f t="shared" si="5"/>
        <v>37.224201889885535</v>
      </c>
      <c r="L45" s="25">
        <v>41058.673108815135</v>
      </c>
      <c r="M45" s="25">
        <v>1343842.1095410322</v>
      </c>
      <c r="N45" s="25">
        <v>29714108.991524342</v>
      </c>
      <c r="O45" s="27">
        <v>0</v>
      </c>
      <c r="P45" s="27">
        <v>1.408599343671346</v>
      </c>
      <c r="Q45" s="27">
        <v>11.268794749370768</v>
      </c>
      <c r="R45" s="29">
        <v>16.203848758986261</v>
      </c>
      <c r="S45" s="29">
        <v>75.402222281771174</v>
      </c>
      <c r="T45" s="29">
        <v>336.36856946575512</v>
      </c>
    </row>
    <row r="46" spans="1:20" x14ac:dyDescent="0.25">
      <c r="A46" s="24">
        <f t="shared" si="6"/>
        <v>42</v>
      </c>
      <c r="B46" s="12">
        <v>2.4154589371980676E-4</v>
      </c>
      <c r="C46" s="12">
        <f t="shared" si="0"/>
        <v>0.99975845410628017</v>
      </c>
      <c r="D46" s="25">
        <f t="shared" si="7"/>
        <v>92435.138132963752</v>
      </c>
      <c r="E46" s="25">
        <f t="shared" si="1"/>
        <v>22.327328051440418</v>
      </c>
      <c r="F46" s="6">
        <v>0</v>
      </c>
      <c r="G46" s="37">
        <f t="shared" si="2"/>
        <v>1</v>
      </c>
      <c r="H46" s="27">
        <f t="shared" si="3"/>
        <v>0</v>
      </c>
      <c r="I46" s="7">
        <v>2.4154589371980676E-4</v>
      </c>
      <c r="J46" s="38">
        <f t="shared" si="4"/>
        <v>0.99975845410628017</v>
      </c>
      <c r="K46" s="29">
        <f t="shared" si="5"/>
        <v>22.327328051440521</v>
      </c>
      <c r="L46" s="25">
        <v>40237.397238314683</v>
      </c>
      <c r="M46" s="25">
        <v>1302783.4364322172</v>
      </c>
      <c r="N46" s="25">
        <v>28370266.88198331</v>
      </c>
      <c r="O46" s="27">
        <v>0</v>
      </c>
      <c r="P46" s="27">
        <v>1.408599343671346</v>
      </c>
      <c r="Q46" s="27">
        <v>9.8601954056994217</v>
      </c>
      <c r="R46" s="29">
        <v>9.5286059577329443</v>
      </c>
      <c r="S46" s="29">
        <v>59.198373522784905</v>
      </c>
      <c r="T46" s="29">
        <v>260.96634718398394</v>
      </c>
    </row>
    <row r="47" spans="1:20" x14ac:dyDescent="0.25">
      <c r="A47" s="24">
        <f t="shared" si="6"/>
        <v>43</v>
      </c>
      <c r="B47" s="12">
        <v>3.2204822672195161E-4</v>
      </c>
      <c r="C47" s="12">
        <f t="shared" si="0"/>
        <v>0.99967795177327801</v>
      </c>
      <c r="D47" s="25">
        <f t="shared" si="7"/>
        <v>92412.810804912311</v>
      </c>
      <c r="E47" s="25">
        <f t="shared" si="1"/>
        <v>29.761381846110453</v>
      </c>
      <c r="F47" s="6">
        <v>0</v>
      </c>
      <c r="G47" s="37">
        <f t="shared" si="2"/>
        <v>1</v>
      </c>
      <c r="H47" s="27">
        <f t="shared" si="3"/>
        <v>0</v>
      </c>
      <c r="I47" s="7">
        <v>3.2204822672195161E-4</v>
      </c>
      <c r="J47" s="38">
        <f t="shared" si="4"/>
        <v>0.99967795177327801</v>
      </c>
      <c r="K47" s="29">
        <f t="shared" si="5"/>
        <v>29.76138184611322</v>
      </c>
      <c r="L47" s="25">
        <v>39438.900059056657</v>
      </c>
      <c r="M47" s="25">
        <v>1262546.0391939024</v>
      </c>
      <c r="N47" s="25">
        <v>27067483.445551094</v>
      </c>
      <c r="O47" s="27">
        <v>0</v>
      </c>
      <c r="P47" s="27">
        <v>1.408599343671346</v>
      </c>
      <c r="Q47" s="27">
        <v>8.4515960620280755</v>
      </c>
      <c r="R47" s="29">
        <v>12.452184144983795</v>
      </c>
      <c r="S47" s="29">
        <v>49.669767565051963</v>
      </c>
      <c r="T47" s="29">
        <v>201.76797366119905</v>
      </c>
    </row>
    <row r="48" spans="1:20" x14ac:dyDescent="0.25">
      <c r="A48" s="24">
        <f t="shared" si="6"/>
        <v>44</v>
      </c>
      <c r="B48" s="12">
        <v>2.4154589371980676E-4</v>
      </c>
      <c r="C48" s="12">
        <f t="shared" si="0"/>
        <v>0.99975845410628017</v>
      </c>
      <c r="D48" s="25">
        <f t="shared" si="7"/>
        <v>92383.049423066201</v>
      </c>
      <c r="E48" s="25">
        <f t="shared" si="1"/>
        <v>22.314746237461804</v>
      </c>
      <c r="F48" s="6">
        <v>0</v>
      </c>
      <c r="G48" s="37">
        <f t="shared" si="2"/>
        <v>1</v>
      </c>
      <c r="H48" s="27">
        <f t="shared" si="3"/>
        <v>0</v>
      </c>
      <c r="I48" s="7">
        <v>2.4154589371980676E-4</v>
      </c>
      <c r="J48" s="38">
        <f t="shared" si="4"/>
        <v>0.99975845410628017</v>
      </c>
      <c r="K48" s="29">
        <f t="shared" si="5"/>
        <v>22.314746237455605</v>
      </c>
      <c r="L48" s="25">
        <v>38653.136109047824</v>
      </c>
      <c r="M48" s="25">
        <v>1223107.1391348459</v>
      </c>
      <c r="N48" s="25">
        <v>25804937.406357192</v>
      </c>
      <c r="O48" s="27">
        <v>0</v>
      </c>
      <c r="P48" s="27">
        <v>1.408599343671346</v>
      </c>
      <c r="Q48" s="27">
        <v>7.0429967183567301</v>
      </c>
      <c r="R48" s="29">
        <v>9.1534375554247944</v>
      </c>
      <c r="S48" s="29">
        <v>37.217583420068166</v>
      </c>
      <c r="T48" s="29">
        <v>152.09820609614709</v>
      </c>
    </row>
    <row r="49" spans="1:20" x14ac:dyDescent="0.25">
      <c r="A49" s="24">
        <f t="shared" si="6"/>
        <v>45</v>
      </c>
      <c r="B49" s="12">
        <v>2.4154589371980676E-4</v>
      </c>
      <c r="C49" s="12">
        <f t="shared" si="0"/>
        <v>0.99975845410628017</v>
      </c>
      <c r="D49" s="25">
        <f t="shared" si="7"/>
        <v>92360.734676828739</v>
      </c>
      <c r="E49" s="25">
        <f t="shared" si="1"/>
        <v>22.309356202138588</v>
      </c>
      <c r="F49" s="6">
        <v>0</v>
      </c>
      <c r="G49" s="37">
        <f t="shared" si="2"/>
        <v>1</v>
      </c>
      <c r="H49" s="27">
        <f t="shared" si="3"/>
        <v>0</v>
      </c>
      <c r="I49" s="7">
        <v>2.4154589371980676E-4</v>
      </c>
      <c r="J49" s="38">
        <f t="shared" si="4"/>
        <v>0.99975845410628017</v>
      </c>
      <c r="K49" s="29">
        <f t="shared" si="5"/>
        <v>22.309356202132545</v>
      </c>
      <c r="L49" s="25">
        <v>37886.078041903216</v>
      </c>
      <c r="M49" s="25">
        <v>1184454.0030257981</v>
      </c>
      <c r="N49" s="25">
        <v>24581830.267222345</v>
      </c>
      <c r="O49" s="27">
        <v>0</v>
      </c>
      <c r="P49" s="27">
        <v>1.408599343671346</v>
      </c>
      <c r="Q49" s="27">
        <v>5.6343973746853839</v>
      </c>
      <c r="R49" s="29">
        <v>8.9717907648724111</v>
      </c>
      <c r="S49" s="29">
        <v>28.064145864643375</v>
      </c>
      <c r="T49" s="29">
        <v>114.88062267607893</v>
      </c>
    </row>
    <row r="50" spans="1:20" x14ac:dyDescent="0.25">
      <c r="A50" s="24">
        <f t="shared" si="6"/>
        <v>46</v>
      </c>
      <c r="B50" s="12">
        <v>1.207802403526783E-4</v>
      </c>
      <c r="C50" s="12">
        <f t="shared" si="0"/>
        <v>0.99987921975964733</v>
      </c>
      <c r="D50" s="25">
        <f t="shared" si="7"/>
        <v>92338.4253206266</v>
      </c>
      <c r="E50" s="25">
        <f t="shared" si="1"/>
        <v>11.152657204016577</v>
      </c>
      <c r="F50" s="6">
        <v>0</v>
      </c>
      <c r="G50" s="37">
        <f t="shared" si="2"/>
        <v>1</v>
      </c>
      <c r="H50" s="27">
        <f t="shared" si="3"/>
        <v>0</v>
      </c>
      <c r="I50" s="7">
        <v>1.207802403526783E-4</v>
      </c>
      <c r="J50" s="38">
        <f t="shared" si="4"/>
        <v>0.99987921975964733</v>
      </c>
      <c r="K50" s="29">
        <f t="shared" si="5"/>
        <v>11.152657204013117</v>
      </c>
      <c r="L50" s="25">
        <v>37134.241975806908</v>
      </c>
      <c r="M50" s="25">
        <v>1146567.9249838949</v>
      </c>
      <c r="N50" s="25">
        <v>23397376.264196549</v>
      </c>
      <c r="O50" s="27">
        <v>0</v>
      </c>
      <c r="P50" s="27">
        <v>1.408599343671346</v>
      </c>
      <c r="Q50" s="27">
        <v>4.2257980310140377</v>
      </c>
      <c r="R50" s="29">
        <v>4.3971398736788965</v>
      </c>
      <c r="S50" s="29">
        <v>19.092355099770966</v>
      </c>
      <c r="T50" s="29">
        <v>86.81647681143555</v>
      </c>
    </row>
    <row r="51" spans="1:20" x14ac:dyDescent="0.25">
      <c r="A51" s="24">
        <f t="shared" si="6"/>
        <v>47</v>
      </c>
      <c r="B51" s="12">
        <v>4.0261701056869654E-5</v>
      </c>
      <c r="C51" s="12">
        <f t="shared" si="0"/>
        <v>0.99995973829894313</v>
      </c>
      <c r="D51" s="25">
        <f t="shared" si="7"/>
        <v>92327.272663422584</v>
      </c>
      <c r="E51" s="25">
        <f t="shared" si="1"/>
        <v>3.7172530513635138</v>
      </c>
      <c r="F51" s="6">
        <v>0</v>
      </c>
      <c r="G51" s="37">
        <f t="shared" si="2"/>
        <v>1</v>
      </c>
      <c r="H51" s="27">
        <f t="shared" si="3"/>
        <v>0</v>
      </c>
      <c r="I51" s="7">
        <v>4.0261701056869654E-5</v>
      </c>
      <c r="J51" s="38">
        <f t="shared" si="4"/>
        <v>0.99995973829894313</v>
      </c>
      <c r="K51" s="29">
        <f t="shared" si="5"/>
        <v>3.7172530513708137</v>
      </c>
      <c r="L51" s="25">
        <v>36401.722444250736</v>
      </c>
      <c r="M51" s="25">
        <v>1109433.683008088</v>
      </c>
      <c r="N51" s="25">
        <v>22250808.339212652</v>
      </c>
      <c r="O51" s="27">
        <v>0</v>
      </c>
      <c r="P51" s="27">
        <v>1.408599343671346</v>
      </c>
      <c r="Q51" s="27">
        <v>2.817198687342692</v>
      </c>
      <c r="R51" s="29">
        <v>1.4368581049074174</v>
      </c>
      <c r="S51" s="29">
        <v>14.695215226092072</v>
      </c>
      <c r="T51" s="29">
        <v>67.72412171166458</v>
      </c>
    </row>
    <row r="52" spans="1:20" x14ac:dyDescent="0.25">
      <c r="A52" s="24">
        <f t="shared" si="6"/>
        <v>48</v>
      </c>
      <c r="B52" s="12">
        <v>8.0521781109167321E-5</v>
      </c>
      <c r="C52" s="12">
        <f t="shared" si="0"/>
        <v>0.99991947821889082</v>
      </c>
      <c r="D52" s="25">
        <f t="shared" si="7"/>
        <v>92323.55541037122</v>
      </c>
      <c r="E52" s="25">
        <f t="shared" si="1"/>
        <v>7.4340571199718397</v>
      </c>
      <c r="F52" s="6">
        <v>4.026089055458366E-5</v>
      </c>
      <c r="G52" s="37">
        <f t="shared" si="2"/>
        <v>0.99995973910944547</v>
      </c>
      <c r="H52" s="27">
        <f t="shared" si="3"/>
        <v>3.7170285599869959</v>
      </c>
      <c r="I52" s="7">
        <v>4.026089055458366E-5</v>
      </c>
      <c r="J52" s="38">
        <f t="shared" si="4"/>
        <v>0.99995973910944547</v>
      </c>
      <c r="K52" s="29">
        <f t="shared" si="5"/>
        <v>3.7170285599869959</v>
      </c>
      <c r="L52" s="25">
        <v>35686.526322533078</v>
      </c>
      <c r="M52" s="25">
        <v>1073031.9605638373</v>
      </c>
      <c r="N52" s="25">
        <v>21141374.656204563</v>
      </c>
      <c r="O52" s="27">
        <v>1.408599343671346</v>
      </c>
      <c r="P52" s="27">
        <v>1.408599343671346</v>
      </c>
      <c r="Q52" s="27">
        <v>1.408599343671346</v>
      </c>
      <c r="R52" s="29">
        <v>1.408599343671346</v>
      </c>
      <c r="S52" s="29">
        <v>13.258357121184654</v>
      </c>
      <c r="T52" s="29">
        <v>53.028906485572513</v>
      </c>
    </row>
    <row r="53" spans="1:20" x14ac:dyDescent="0.25">
      <c r="A53" s="24">
        <f t="shared" si="6"/>
        <v>49</v>
      </c>
      <c r="B53" s="12">
        <v>1.2078510317060894E-4</v>
      </c>
      <c r="C53" s="12">
        <f t="shared" si="0"/>
        <v>0.9998792148968294</v>
      </c>
      <c r="D53" s="25">
        <f t="shared" si="7"/>
        <v>92316.121353251248</v>
      </c>
      <c r="E53" s="25">
        <f t="shared" si="1"/>
        <v>11.150412241957383</v>
      </c>
      <c r="F53" s="6">
        <v>0</v>
      </c>
      <c r="G53" s="37">
        <f t="shared" si="2"/>
        <v>1</v>
      </c>
      <c r="H53" s="27">
        <f t="shared" si="3"/>
        <v>0</v>
      </c>
      <c r="I53" s="7">
        <v>1.2078510317060894E-4</v>
      </c>
      <c r="J53" s="38">
        <f t="shared" si="4"/>
        <v>0.9998792148968294</v>
      </c>
      <c r="K53" s="29">
        <f t="shared" si="5"/>
        <v>11.150412241962908</v>
      </c>
      <c r="L53" s="25">
        <v>34983.973313599985</v>
      </c>
      <c r="M53" s="25">
        <v>1037345.4342413045</v>
      </c>
      <c r="N53" s="25">
        <v>20068342.695640724</v>
      </c>
      <c r="O53" s="27">
        <v>0</v>
      </c>
      <c r="P53" s="27">
        <v>0</v>
      </c>
      <c r="Q53" s="27">
        <v>0</v>
      </c>
      <c r="R53" s="29">
        <v>4.1426890450990239</v>
      </c>
      <c r="S53" s="29">
        <v>11.849757777513307</v>
      </c>
      <c r="T53" s="29">
        <v>39.770549364387861</v>
      </c>
    </row>
    <row r="54" spans="1:20" x14ac:dyDescent="0.25">
      <c r="A54" s="24">
        <f t="shared" si="6"/>
        <v>50</v>
      </c>
      <c r="B54" s="12">
        <v>0</v>
      </c>
      <c r="C54" s="12">
        <f t="shared" si="0"/>
        <v>1</v>
      </c>
      <c r="D54" s="25">
        <f t="shared" si="7"/>
        <v>92304.970941009291</v>
      </c>
      <c r="E54" s="25">
        <f t="shared" si="1"/>
        <v>0</v>
      </c>
      <c r="F54" s="6">
        <v>0</v>
      </c>
      <c r="G54" s="37">
        <f t="shared" si="2"/>
        <v>1</v>
      </c>
      <c r="H54" s="27">
        <f t="shared" si="3"/>
        <v>0</v>
      </c>
      <c r="I54" s="7">
        <v>0</v>
      </c>
      <c r="J54" s="38">
        <f t="shared" si="4"/>
        <v>1</v>
      </c>
      <c r="K54" s="29">
        <f t="shared" si="5"/>
        <v>0</v>
      </c>
      <c r="L54" s="25">
        <v>34293.870363503906</v>
      </c>
      <c r="M54" s="25">
        <v>1002361.4609277043</v>
      </c>
      <c r="N54" s="25">
        <v>19030997.261399418</v>
      </c>
      <c r="O54" s="27">
        <v>0</v>
      </c>
      <c r="P54" s="27">
        <v>0</v>
      </c>
      <c r="Q54" s="27">
        <v>0</v>
      </c>
      <c r="R54" s="29">
        <v>0</v>
      </c>
      <c r="S54" s="29">
        <v>7.7070687324142835</v>
      </c>
      <c r="T54" s="29">
        <v>27.920791586874557</v>
      </c>
    </row>
    <row r="55" spans="1:20" x14ac:dyDescent="0.25">
      <c r="A55" s="24">
        <f t="shared" si="6"/>
        <v>51</v>
      </c>
      <c r="B55" s="12">
        <v>8.0525023150944153E-5</v>
      </c>
      <c r="C55" s="12">
        <f t="shared" si="0"/>
        <v>0.99991947497684908</v>
      </c>
      <c r="D55" s="25">
        <f t="shared" si="7"/>
        <v>92304.970941009291</v>
      </c>
      <c r="E55" s="25">
        <f t="shared" si="1"/>
        <v>7.4328599219734315</v>
      </c>
      <c r="F55" s="6">
        <v>0</v>
      </c>
      <c r="G55" s="37">
        <f t="shared" si="2"/>
        <v>1</v>
      </c>
      <c r="H55" s="27">
        <f t="shared" si="3"/>
        <v>0</v>
      </c>
      <c r="I55" s="7">
        <v>8.0525023150944153E-5</v>
      </c>
      <c r="J55" s="38">
        <f t="shared" si="4"/>
        <v>0.99991947497684908</v>
      </c>
      <c r="K55" s="29">
        <f t="shared" si="5"/>
        <v>7.4328599219720006</v>
      </c>
      <c r="L55" s="25">
        <v>33621.441532846969</v>
      </c>
      <c r="M55" s="25">
        <v>968067.59056420054</v>
      </c>
      <c r="N55" s="25">
        <v>18028635.800471716</v>
      </c>
      <c r="O55" s="27">
        <v>0</v>
      </c>
      <c r="P55" s="27">
        <v>0</v>
      </c>
      <c r="Q55" s="27">
        <v>0</v>
      </c>
      <c r="R55" s="29">
        <v>2.6542817233339386</v>
      </c>
      <c r="S55" s="29">
        <v>7.7070687324142835</v>
      </c>
      <c r="T55" s="29">
        <v>20.213722854460272</v>
      </c>
    </row>
    <row r="56" spans="1:20" x14ac:dyDescent="0.25">
      <c r="A56" s="24">
        <f t="shared" si="6"/>
        <v>52</v>
      </c>
      <c r="B56" s="12">
        <v>4.0263322126708673E-5</v>
      </c>
      <c r="C56" s="12">
        <f t="shared" si="0"/>
        <v>0.9999597366778733</v>
      </c>
      <c r="D56" s="25">
        <f t="shared" si="7"/>
        <v>92297.538081087318</v>
      </c>
      <c r="E56" s="25">
        <f t="shared" si="1"/>
        <v>3.7162055072549265</v>
      </c>
      <c r="F56" s="6">
        <v>0</v>
      </c>
      <c r="G56" s="37">
        <f t="shared" si="2"/>
        <v>1</v>
      </c>
      <c r="H56" s="27">
        <f t="shared" si="3"/>
        <v>0</v>
      </c>
      <c r="I56" s="7">
        <v>4.0263322126708673E-5</v>
      </c>
      <c r="J56" s="38">
        <f t="shared" si="4"/>
        <v>0.9999597366778733</v>
      </c>
      <c r="K56" s="29">
        <f t="shared" si="5"/>
        <v>3.7162055072609794</v>
      </c>
      <c r="L56" s="25">
        <v>32959.543299499186</v>
      </c>
      <c r="M56" s="25">
        <v>934446.14903135365</v>
      </c>
      <c r="N56" s="25">
        <v>17060568.209907517</v>
      </c>
      <c r="O56" s="27">
        <v>0</v>
      </c>
      <c r="P56" s="27">
        <v>0</v>
      </c>
      <c r="Q56" s="27">
        <v>0</v>
      </c>
      <c r="R56" s="29">
        <v>1.3010399108009196</v>
      </c>
      <c r="S56" s="29">
        <v>5.0527870090803439</v>
      </c>
      <c r="T56" s="29">
        <v>12.506654122045987</v>
      </c>
    </row>
    <row r="57" spans="1:20" x14ac:dyDescent="0.25">
      <c r="A57" s="24">
        <f t="shared" si="6"/>
        <v>53</v>
      </c>
      <c r="B57" s="12">
        <v>4.0263322126708673E-5</v>
      </c>
      <c r="C57" s="12">
        <f t="shared" si="0"/>
        <v>0.9999597366778733</v>
      </c>
      <c r="D57" s="25">
        <f t="shared" si="7"/>
        <v>92293.821875580063</v>
      </c>
      <c r="E57" s="25">
        <f t="shared" si="1"/>
        <v>3.7160558804753236</v>
      </c>
      <c r="F57" s="6">
        <v>0</v>
      </c>
      <c r="G57" s="37">
        <f t="shared" si="2"/>
        <v>1</v>
      </c>
      <c r="H57" s="27">
        <f t="shared" si="3"/>
        <v>0</v>
      </c>
      <c r="I57" s="7">
        <v>4.0263322126708673E-5</v>
      </c>
      <c r="J57" s="38">
        <f t="shared" si="4"/>
        <v>0.9999597366778733</v>
      </c>
      <c r="K57" s="29">
        <f t="shared" si="5"/>
        <v>3.7160558804815516</v>
      </c>
      <c r="L57" s="25">
        <v>32311.976704696244</v>
      </c>
      <c r="M57" s="25">
        <v>901486.60573185445</v>
      </c>
      <c r="N57" s="25">
        <v>16126122.060876163</v>
      </c>
      <c r="O57" s="27">
        <v>0</v>
      </c>
      <c r="P57" s="27">
        <v>0</v>
      </c>
      <c r="Q57" s="27">
        <v>0</v>
      </c>
      <c r="R57" s="29">
        <v>1.2754779672665602</v>
      </c>
      <c r="S57" s="29">
        <v>3.7517470982794241</v>
      </c>
      <c r="T57" s="29">
        <v>7.4538671129656437</v>
      </c>
    </row>
    <row r="58" spans="1:20" x14ac:dyDescent="0.25">
      <c r="A58" s="24">
        <f t="shared" si="6"/>
        <v>54</v>
      </c>
      <c r="B58" s="12">
        <v>4.0263322126708673E-5</v>
      </c>
      <c r="C58" s="12">
        <f t="shared" si="0"/>
        <v>0.9999597366778733</v>
      </c>
      <c r="D58" s="25">
        <f t="shared" si="7"/>
        <v>92290.105819699587</v>
      </c>
      <c r="E58" s="25">
        <f t="shared" si="1"/>
        <v>3.7159062597202137</v>
      </c>
      <c r="F58" s="6">
        <v>0</v>
      </c>
      <c r="G58" s="37">
        <f t="shared" si="2"/>
        <v>1</v>
      </c>
      <c r="H58" s="27">
        <f t="shared" si="3"/>
        <v>0</v>
      </c>
      <c r="I58" s="7">
        <v>4.0263322126708673E-5</v>
      </c>
      <c r="J58" s="38">
        <f t="shared" si="4"/>
        <v>0.9999597366778733</v>
      </c>
      <c r="K58" s="29">
        <f t="shared" si="5"/>
        <v>3.7159062597265953</v>
      </c>
      <c r="L58" s="25">
        <v>31677.13305604866</v>
      </c>
      <c r="M58" s="25">
        <v>869174.62902715825</v>
      </c>
      <c r="N58" s="25">
        <v>15224635.455144309</v>
      </c>
      <c r="O58" s="27">
        <v>0</v>
      </c>
      <c r="P58" s="27">
        <v>0</v>
      </c>
      <c r="Q58" s="27">
        <v>0</v>
      </c>
      <c r="R58" s="29">
        <v>1.2504182473395085</v>
      </c>
      <c r="S58" s="29">
        <v>2.4762691310128639</v>
      </c>
      <c r="T58" s="29">
        <v>3.7021200146862197</v>
      </c>
    </row>
    <row r="59" spans="1:20" x14ac:dyDescent="0.25">
      <c r="A59" s="24">
        <f t="shared" si="6"/>
        <v>55</v>
      </c>
      <c r="B59" s="12">
        <v>4.0263322126708673E-5</v>
      </c>
      <c r="C59" s="12">
        <f t="shared" si="0"/>
        <v>0.9999597366778733</v>
      </c>
      <c r="D59" s="25">
        <f t="shared" si="7"/>
        <v>92286.389913439867</v>
      </c>
      <c r="E59" s="25">
        <f t="shared" si="1"/>
        <v>3.7157566449895967</v>
      </c>
      <c r="F59" s="6">
        <v>0</v>
      </c>
      <c r="G59" s="37">
        <f t="shared" si="2"/>
        <v>1</v>
      </c>
      <c r="H59" s="27">
        <f t="shared" si="3"/>
        <v>0</v>
      </c>
      <c r="I59" s="7">
        <v>4.0263322126708673E-5</v>
      </c>
      <c r="J59" s="38">
        <f t="shared" si="4"/>
        <v>0.9999597366778733</v>
      </c>
      <c r="K59" s="29">
        <f t="shared" si="5"/>
        <v>3.7157566449958677</v>
      </c>
      <c r="L59" s="25">
        <v>31054.762381800367</v>
      </c>
      <c r="M59" s="25">
        <v>837497.49597110972</v>
      </c>
      <c r="N59" s="25">
        <v>14355460.82611715</v>
      </c>
      <c r="O59" s="27">
        <v>0</v>
      </c>
      <c r="P59" s="27">
        <v>0</v>
      </c>
      <c r="Q59" s="27">
        <v>0</v>
      </c>
      <c r="R59" s="29">
        <v>1.2258508836733557</v>
      </c>
      <c r="S59" s="29">
        <v>1.2258508836733557</v>
      </c>
      <c r="T59" s="29">
        <v>1.2258508836733557</v>
      </c>
    </row>
    <row r="60" spans="1:20" x14ac:dyDescent="0.25">
      <c r="A60" s="24">
        <f t="shared" si="6"/>
        <v>56</v>
      </c>
      <c r="B60" s="12">
        <v>0</v>
      </c>
      <c r="C60" s="12">
        <f t="shared" si="0"/>
        <v>1</v>
      </c>
      <c r="D60" s="25">
        <f t="shared" si="7"/>
        <v>92282.674156794877</v>
      </c>
      <c r="E60" s="25">
        <f t="shared" si="1"/>
        <v>0</v>
      </c>
      <c r="F60" s="6">
        <v>0</v>
      </c>
      <c r="G60" s="37">
        <f t="shared" si="2"/>
        <v>1</v>
      </c>
      <c r="H60" s="27">
        <f t="shared" si="3"/>
        <v>0</v>
      </c>
      <c r="I60" s="7">
        <v>0</v>
      </c>
      <c r="J60" s="38">
        <f t="shared" si="4"/>
        <v>1</v>
      </c>
      <c r="K60" s="29">
        <f t="shared" si="5"/>
        <v>0</v>
      </c>
      <c r="L60" s="25">
        <v>30444.619621469628</v>
      </c>
      <c r="M60" s="25">
        <v>806442.73358930927</v>
      </c>
      <c r="N60" s="25">
        <v>13517963.330146041</v>
      </c>
      <c r="O60" s="27">
        <v>0</v>
      </c>
      <c r="P60" s="27">
        <v>0</v>
      </c>
      <c r="Q60" s="27">
        <v>0</v>
      </c>
      <c r="R60" s="29">
        <v>0</v>
      </c>
      <c r="S60" s="29">
        <v>0</v>
      </c>
      <c r="T60" s="29">
        <v>0</v>
      </c>
    </row>
    <row r="61" spans="1:20" x14ac:dyDescent="0.25">
      <c r="A61" s="24">
        <f t="shared" si="6"/>
        <v>57</v>
      </c>
      <c r="B61" s="12">
        <v>0</v>
      </c>
      <c r="C61" s="12">
        <f t="shared" si="0"/>
        <v>1</v>
      </c>
      <c r="D61" s="25">
        <f t="shared" si="7"/>
        <v>92282.674156794877</v>
      </c>
      <c r="E61" s="25">
        <f t="shared" si="1"/>
        <v>0</v>
      </c>
      <c r="F61" s="6">
        <v>0</v>
      </c>
      <c r="G61" s="37">
        <f t="shared" si="2"/>
        <v>1</v>
      </c>
      <c r="H61" s="27">
        <f t="shared" si="3"/>
        <v>0</v>
      </c>
      <c r="I61" s="7">
        <v>0</v>
      </c>
      <c r="J61" s="38">
        <f t="shared" si="4"/>
        <v>1</v>
      </c>
      <c r="K61" s="29">
        <f t="shared" si="5"/>
        <v>0</v>
      </c>
      <c r="L61" s="25">
        <v>29847.666295558458</v>
      </c>
      <c r="M61" s="25">
        <v>775998.11396783974</v>
      </c>
      <c r="N61" s="25">
        <v>12711520.596556731</v>
      </c>
      <c r="O61" s="27">
        <v>0</v>
      </c>
      <c r="P61" s="27">
        <v>0</v>
      </c>
      <c r="Q61" s="27">
        <v>0</v>
      </c>
      <c r="R61" s="29">
        <v>0</v>
      </c>
      <c r="S61" s="29">
        <v>0</v>
      </c>
      <c r="T61" s="29">
        <v>0</v>
      </c>
    </row>
    <row r="62" spans="1:20" x14ac:dyDescent="0.25">
      <c r="A62" s="24">
        <f t="shared" si="6"/>
        <v>58</v>
      </c>
      <c r="B62" s="12">
        <v>0</v>
      </c>
      <c r="C62" s="12">
        <f t="shared" si="0"/>
        <v>1</v>
      </c>
      <c r="D62" s="25">
        <f t="shared" si="7"/>
        <v>92282.674156794877</v>
      </c>
      <c r="E62" s="25">
        <f t="shared" si="1"/>
        <v>0</v>
      </c>
      <c r="F62" s="6">
        <v>0</v>
      </c>
      <c r="G62" s="37">
        <f t="shared" si="2"/>
        <v>1</v>
      </c>
      <c r="H62" s="27">
        <f t="shared" si="3"/>
        <v>0</v>
      </c>
      <c r="I62" s="7">
        <v>0</v>
      </c>
      <c r="J62" s="38">
        <f t="shared" si="4"/>
        <v>1</v>
      </c>
      <c r="K62" s="29">
        <f t="shared" si="5"/>
        <v>0</v>
      </c>
      <c r="L62" s="25">
        <v>29262.417936822018</v>
      </c>
      <c r="M62" s="25">
        <v>746150.4476722813</v>
      </c>
      <c r="N62" s="25">
        <v>11935522.482588891</v>
      </c>
      <c r="O62" s="27">
        <v>0</v>
      </c>
      <c r="P62" s="27">
        <v>0</v>
      </c>
      <c r="Q62" s="27">
        <v>0</v>
      </c>
      <c r="R62" s="29">
        <v>0</v>
      </c>
      <c r="S62" s="29">
        <v>0</v>
      </c>
      <c r="T62" s="29">
        <v>0</v>
      </c>
    </row>
    <row r="63" spans="1:20" x14ac:dyDescent="0.25">
      <c r="A63" s="24">
        <f t="shared" si="6"/>
        <v>59</v>
      </c>
      <c r="B63" s="12">
        <v>0</v>
      </c>
      <c r="C63" s="12">
        <f t="shared" si="0"/>
        <v>1</v>
      </c>
      <c r="D63" s="25">
        <f t="shared" si="7"/>
        <v>92282.674156794877</v>
      </c>
      <c r="E63" s="25">
        <f t="shared" si="1"/>
        <v>0</v>
      </c>
      <c r="F63" s="6">
        <v>0</v>
      </c>
      <c r="G63" s="37">
        <f t="shared" si="2"/>
        <v>1</v>
      </c>
      <c r="H63" s="27">
        <f t="shared" si="3"/>
        <v>0</v>
      </c>
      <c r="I63" s="7">
        <v>0</v>
      </c>
      <c r="J63" s="38">
        <f t="shared" si="4"/>
        <v>1</v>
      </c>
      <c r="K63" s="29">
        <f t="shared" si="5"/>
        <v>0</v>
      </c>
      <c r="L63" s="25">
        <v>28688.645036100017</v>
      </c>
      <c r="M63" s="25">
        <v>716888.02973545925</v>
      </c>
      <c r="N63" s="25">
        <v>11189372.03491661</v>
      </c>
      <c r="O63" s="27">
        <v>0</v>
      </c>
      <c r="P63" s="27">
        <v>0</v>
      </c>
      <c r="Q63" s="27">
        <v>0</v>
      </c>
      <c r="R63" s="29">
        <v>0</v>
      </c>
      <c r="S63" s="29">
        <v>0</v>
      </c>
      <c r="T63" s="29">
        <v>0</v>
      </c>
    </row>
    <row r="64" spans="1:20" x14ac:dyDescent="0.25">
      <c r="A64" s="24">
        <f t="shared" si="6"/>
        <v>60</v>
      </c>
      <c r="B64" s="12">
        <v>0</v>
      </c>
      <c r="C64" s="12">
        <f t="shared" si="0"/>
        <v>1</v>
      </c>
      <c r="D64" s="25">
        <f t="shared" si="7"/>
        <v>92282.674156794877</v>
      </c>
      <c r="E64" s="25">
        <f t="shared" si="1"/>
        <v>0</v>
      </c>
      <c r="F64" s="6">
        <v>0</v>
      </c>
      <c r="G64" s="37">
        <f t="shared" si="2"/>
        <v>1</v>
      </c>
      <c r="H64" s="27">
        <f t="shared" si="3"/>
        <v>0</v>
      </c>
      <c r="I64" s="7">
        <v>0</v>
      </c>
      <c r="J64" s="38">
        <f t="shared" si="4"/>
        <v>1</v>
      </c>
      <c r="K64" s="29">
        <f t="shared" si="5"/>
        <v>0</v>
      </c>
      <c r="L64" s="25">
        <v>28126.12258441178</v>
      </c>
      <c r="M64" s="25">
        <v>688199.38469935919</v>
      </c>
      <c r="N64" s="25">
        <v>10472484.005181151</v>
      </c>
      <c r="O64" s="27">
        <v>0</v>
      </c>
      <c r="P64" s="27">
        <v>0</v>
      </c>
      <c r="Q64" s="27">
        <v>0</v>
      </c>
      <c r="R64" s="29">
        <v>0</v>
      </c>
      <c r="S64" s="29">
        <v>0</v>
      </c>
      <c r="T64" s="29">
        <v>0</v>
      </c>
    </row>
    <row r="65" spans="1:20" x14ac:dyDescent="0.25">
      <c r="A65" s="24">
        <f t="shared" si="6"/>
        <v>61</v>
      </c>
      <c r="B65" s="12">
        <v>0</v>
      </c>
      <c r="C65" s="12">
        <f t="shared" si="0"/>
        <v>1</v>
      </c>
      <c r="D65" s="25">
        <f t="shared" si="7"/>
        <v>92282.674156794877</v>
      </c>
      <c r="E65" s="25">
        <f t="shared" si="1"/>
        <v>0</v>
      </c>
      <c r="F65" s="6">
        <v>0</v>
      </c>
      <c r="G65" s="37">
        <f t="shared" si="2"/>
        <v>1</v>
      </c>
      <c r="H65" s="27">
        <f t="shared" si="3"/>
        <v>0</v>
      </c>
      <c r="I65" s="7">
        <v>0</v>
      </c>
      <c r="J65" s="38">
        <f t="shared" si="4"/>
        <v>1</v>
      </c>
      <c r="K65" s="29">
        <f t="shared" si="5"/>
        <v>0</v>
      </c>
      <c r="L65" s="25">
        <v>27574.62998471743</v>
      </c>
      <c r="M65" s="25">
        <v>660073.26211494743</v>
      </c>
      <c r="N65" s="25">
        <v>9784284.620481791</v>
      </c>
      <c r="O65" s="27">
        <v>0</v>
      </c>
      <c r="P65" s="27">
        <v>0</v>
      </c>
      <c r="Q65" s="27">
        <v>0</v>
      </c>
      <c r="R65" s="29">
        <v>0</v>
      </c>
      <c r="S65" s="29">
        <v>0</v>
      </c>
      <c r="T65" s="29">
        <v>0</v>
      </c>
    </row>
    <row r="66" spans="1:20" x14ac:dyDescent="0.25">
      <c r="A66" s="24">
        <f t="shared" si="6"/>
        <v>62</v>
      </c>
      <c r="B66" s="12">
        <v>0</v>
      </c>
      <c r="C66" s="12">
        <f t="shared" si="0"/>
        <v>1</v>
      </c>
      <c r="D66" s="25">
        <f t="shared" si="7"/>
        <v>92282.674156794877</v>
      </c>
      <c r="E66" s="25">
        <f t="shared" si="1"/>
        <v>0</v>
      </c>
      <c r="F66" s="6">
        <v>0</v>
      </c>
      <c r="G66" s="37">
        <f t="shared" si="2"/>
        <v>1</v>
      </c>
      <c r="H66" s="27">
        <f t="shared" si="3"/>
        <v>0</v>
      </c>
      <c r="I66" s="7">
        <v>0</v>
      </c>
      <c r="J66" s="38">
        <f t="shared" si="4"/>
        <v>1</v>
      </c>
      <c r="K66" s="29">
        <f t="shared" si="5"/>
        <v>0</v>
      </c>
      <c r="L66" s="25">
        <v>27033.950965409247</v>
      </c>
      <c r="M66" s="25">
        <v>632498.63213022996</v>
      </c>
      <c r="N66" s="25">
        <v>9124211.3583668433</v>
      </c>
      <c r="O66" s="27">
        <v>0</v>
      </c>
      <c r="P66" s="27">
        <v>0</v>
      </c>
      <c r="Q66" s="27">
        <v>0</v>
      </c>
      <c r="R66" s="29">
        <v>0</v>
      </c>
      <c r="S66" s="29">
        <v>0</v>
      </c>
      <c r="T66" s="29">
        <v>0</v>
      </c>
    </row>
    <row r="67" spans="1:20" x14ac:dyDescent="0.25">
      <c r="A67" s="24">
        <f t="shared" si="6"/>
        <v>63</v>
      </c>
      <c r="B67" s="12">
        <v>0</v>
      </c>
      <c r="C67" s="12">
        <f t="shared" si="0"/>
        <v>1</v>
      </c>
      <c r="D67" s="25">
        <f t="shared" si="7"/>
        <v>92282.674156794877</v>
      </c>
      <c r="E67" s="25">
        <f t="shared" si="1"/>
        <v>0</v>
      </c>
      <c r="F67" s="6">
        <v>0</v>
      </c>
      <c r="G67" s="37">
        <f t="shared" si="2"/>
        <v>1</v>
      </c>
      <c r="H67" s="27">
        <f t="shared" si="3"/>
        <v>0</v>
      </c>
      <c r="I67" s="7">
        <v>0</v>
      </c>
      <c r="J67" s="38">
        <f t="shared" si="4"/>
        <v>1</v>
      </c>
      <c r="K67" s="29">
        <f t="shared" si="5"/>
        <v>0</v>
      </c>
      <c r="L67" s="25">
        <v>26503.873495499258</v>
      </c>
      <c r="M67" s="25">
        <v>605464.68116482091</v>
      </c>
      <c r="N67" s="25">
        <v>8491712.7262366135</v>
      </c>
      <c r="O67" s="27">
        <v>0</v>
      </c>
      <c r="P67" s="27">
        <v>0</v>
      </c>
      <c r="Q67" s="27">
        <v>0</v>
      </c>
      <c r="R67" s="29">
        <v>0</v>
      </c>
      <c r="S67" s="29">
        <v>0</v>
      </c>
      <c r="T67" s="29">
        <v>0</v>
      </c>
    </row>
    <row r="68" spans="1:20" x14ac:dyDescent="0.25">
      <c r="A68" s="24">
        <f t="shared" si="6"/>
        <v>64</v>
      </c>
      <c r="B68" s="12">
        <v>0</v>
      </c>
      <c r="C68" s="12">
        <f t="shared" si="0"/>
        <v>1</v>
      </c>
      <c r="D68" s="25">
        <f t="shared" si="7"/>
        <v>92282.674156794877</v>
      </c>
      <c r="E68" s="25">
        <f t="shared" si="1"/>
        <v>0</v>
      </c>
      <c r="F68" s="6">
        <v>0</v>
      </c>
      <c r="G68" s="37">
        <f t="shared" si="2"/>
        <v>1</v>
      </c>
      <c r="H68" s="27">
        <f t="shared" si="3"/>
        <v>0</v>
      </c>
      <c r="I68" s="7">
        <v>0</v>
      </c>
      <c r="J68" s="38">
        <f t="shared" si="4"/>
        <v>1</v>
      </c>
      <c r="K68" s="29">
        <f t="shared" si="5"/>
        <v>0</v>
      </c>
      <c r="L68" s="25">
        <v>25984.189701469862</v>
      </c>
      <c r="M68" s="25">
        <v>578960.80766932154</v>
      </c>
      <c r="N68" s="25">
        <v>7886248.0450717919</v>
      </c>
      <c r="O68" s="27">
        <v>0</v>
      </c>
      <c r="P68" s="27">
        <v>0</v>
      </c>
      <c r="Q68" s="27">
        <v>0</v>
      </c>
      <c r="R68" s="29">
        <v>0</v>
      </c>
      <c r="S68" s="29">
        <v>0</v>
      </c>
      <c r="T68" s="29">
        <v>0</v>
      </c>
    </row>
    <row r="69" spans="1:20" x14ac:dyDescent="0.25">
      <c r="A69" s="24">
        <f t="shared" si="6"/>
        <v>65</v>
      </c>
      <c r="B69" s="12">
        <v>0</v>
      </c>
      <c r="C69" s="12">
        <f t="shared" ref="C69:C96" si="8">1-B69</f>
        <v>1</v>
      </c>
      <c r="D69" s="25">
        <f t="shared" si="7"/>
        <v>92282.674156794877</v>
      </c>
      <c r="E69" s="25">
        <f t="shared" ref="E69:E96" si="9">D69-D70</f>
        <v>0</v>
      </c>
      <c r="F69" s="6">
        <v>0</v>
      </c>
      <c r="G69" s="37">
        <f t="shared" ref="G69:G96" si="10">1-F69</f>
        <v>1</v>
      </c>
      <c r="H69" s="27">
        <f t="shared" ref="H69:H96" si="11">D69*F69</f>
        <v>0</v>
      </c>
      <c r="I69" s="7">
        <v>0</v>
      </c>
      <c r="J69" s="38">
        <f t="shared" ref="J69:J96" si="12">1-I69</f>
        <v>1</v>
      </c>
      <c r="K69" s="29">
        <f t="shared" ref="K69:K96" si="13">I69*D69</f>
        <v>0</v>
      </c>
      <c r="L69" s="25">
        <v>25474.695785754768</v>
      </c>
      <c r="M69" s="25">
        <v>552976.61796785158</v>
      </c>
      <c r="N69" s="25">
        <v>7307287.2374024699</v>
      </c>
      <c r="O69" s="27">
        <v>0</v>
      </c>
      <c r="P69" s="27">
        <v>0</v>
      </c>
      <c r="Q69" s="27">
        <v>0</v>
      </c>
      <c r="R69" s="29">
        <v>0</v>
      </c>
      <c r="S69" s="29">
        <v>0</v>
      </c>
      <c r="T69" s="29">
        <v>0</v>
      </c>
    </row>
    <row r="70" spans="1:20" x14ac:dyDescent="0.25">
      <c r="A70" s="24">
        <f t="shared" ref="A70:A96" si="14">A69+1</f>
        <v>66</v>
      </c>
      <c r="B70" s="12">
        <v>0</v>
      </c>
      <c r="C70" s="12">
        <f t="shared" si="8"/>
        <v>1</v>
      </c>
      <c r="D70" s="25">
        <f t="shared" ref="D70:D96" si="15">D69*C69</f>
        <v>92282.674156794877</v>
      </c>
      <c r="E70" s="25">
        <f t="shared" si="9"/>
        <v>0</v>
      </c>
      <c r="F70" s="6">
        <v>0</v>
      </c>
      <c r="G70" s="37">
        <f t="shared" si="10"/>
        <v>1</v>
      </c>
      <c r="H70" s="27">
        <f t="shared" si="11"/>
        <v>0</v>
      </c>
      <c r="I70" s="7">
        <v>0</v>
      </c>
      <c r="J70" s="38">
        <f t="shared" si="12"/>
        <v>1</v>
      </c>
      <c r="K70" s="29">
        <f t="shared" si="13"/>
        <v>0</v>
      </c>
      <c r="L70" s="25">
        <v>24975.191946818395</v>
      </c>
      <c r="M70" s="25">
        <v>527501.92218209687</v>
      </c>
      <c r="N70" s="25">
        <v>6754310.6194346184</v>
      </c>
      <c r="O70" s="27">
        <v>0</v>
      </c>
      <c r="P70" s="27">
        <v>0</v>
      </c>
      <c r="Q70" s="27">
        <v>0</v>
      </c>
      <c r="R70" s="29">
        <v>0</v>
      </c>
      <c r="S70" s="29">
        <v>0</v>
      </c>
      <c r="T70" s="29">
        <v>0</v>
      </c>
    </row>
    <row r="71" spans="1:20" x14ac:dyDescent="0.25">
      <c r="A71" s="24">
        <f t="shared" si="14"/>
        <v>67</v>
      </c>
      <c r="B71" s="12">
        <v>0</v>
      </c>
      <c r="C71" s="12">
        <f t="shared" si="8"/>
        <v>1</v>
      </c>
      <c r="D71" s="25">
        <f t="shared" si="15"/>
        <v>92282.674156794877</v>
      </c>
      <c r="E71" s="25">
        <f t="shared" si="9"/>
        <v>0</v>
      </c>
      <c r="F71" s="6">
        <v>0</v>
      </c>
      <c r="G71" s="37">
        <f t="shared" si="10"/>
        <v>1</v>
      </c>
      <c r="H71" s="27">
        <f t="shared" si="11"/>
        <v>0</v>
      </c>
      <c r="I71" s="7">
        <v>0</v>
      </c>
      <c r="J71" s="38">
        <f t="shared" si="12"/>
        <v>1</v>
      </c>
      <c r="K71" s="29">
        <f t="shared" si="13"/>
        <v>0</v>
      </c>
      <c r="L71" s="25">
        <v>24485.482300802352</v>
      </c>
      <c r="M71" s="25">
        <v>502526.73023527837</v>
      </c>
      <c r="N71" s="25">
        <v>6226808.6972525213</v>
      </c>
      <c r="O71" s="27">
        <v>0</v>
      </c>
      <c r="P71" s="27">
        <v>0</v>
      </c>
      <c r="Q71" s="27">
        <v>0</v>
      </c>
      <c r="R71" s="29">
        <v>0</v>
      </c>
      <c r="S71" s="29">
        <v>0</v>
      </c>
      <c r="T71" s="29">
        <v>0</v>
      </c>
    </row>
    <row r="72" spans="1:20" x14ac:dyDescent="0.25">
      <c r="A72" s="24">
        <f t="shared" si="14"/>
        <v>68</v>
      </c>
      <c r="B72" s="12">
        <v>0</v>
      </c>
      <c r="C72" s="12">
        <f t="shared" si="8"/>
        <v>1</v>
      </c>
      <c r="D72" s="25">
        <f t="shared" si="15"/>
        <v>92282.674156794877</v>
      </c>
      <c r="E72" s="25">
        <f t="shared" si="9"/>
        <v>0</v>
      </c>
      <c r="F72" s="6">
        <v>0</v>
      </c>
      <c r="G72" s="37">
        <f t="shared" si="10"/>
        <v>1</v>
      </c>
      <c r="H72" s="27">
        <f t="shared" si="11"/>
        <v>0</v>
      </c>
      <c r="I72" s="7">
        <v>0</v>
      </c>
      <c r="J72" s="38">
        <f t="shared" si="12"/>
        <v>1</v>
      </c>
      <c r="K72" s="29">
        <f t="shared" si="13"/>
        <v>0</v>
      </c>
      <c r="L72" s="25">
        <v>24005.37480470819</v>
      </c>
      <c r="M72" s="25">
        <v>478041.24793447601</v>
      </c>
      <c r="N72" s="25">
        <v>5724281.9670172427</v>
      </c>
      <c r="O72" s="27">
        <v>0</v>
      </c>
      <c r="P72" s="27">
        <v>0</v>
      </c>
      <c r="Q72" s="27">
        <v>0</v>
      </c>
      <c r="R72" s="29">
        <v>0</v>
      </c>
      <c r="S72" s="29">
        <v>0</v>
      </c>
      <c r="T72" s="29">
        <v>0</v>
      </c>
    </row>
    <row r="73" spans="1:20" x14ac:dyDescent="0.25">
      <c r="A73" s="24">
        <f t="shared" si="14"/>
        <v>69</v>
      </c>
      <c r="B73" s="12">
        <v>0</v>
      </c>
      <c r="C73" s="12">
        <f t="shared" si="8"/>
        <v>1</v>
      </c>
      <c r="D73" s="25">
        <f t="shared" si="15"/>
        <v>92282.674156794877</v>
      </c>
      <c r="E73" s="25">
        <f t="shared" si="9"/>
        <v>0</v>
      </c>
      <c r="F73" s="6">
        <v>0</v>
      </c>
      <c r="G73" s="37">
        <f t="shared" si="10"/>
        <v>1</v>
      </c>
      <c r="H73" s="27">
        <f t="shared" si="11"/>
        <v>0</v>
      </c>
      <c r="I73" s="7">
        <v>0</v>
      </c>
      <c r="J73" s="38">
        <f t="shared" si="12"/>
        <v>1</v>
      </c>
      <c r="K73" s="29">
        <f t="shared" si="13"/>
        <v>0</v>
      </c>
      <c r="L73" s="25">
        <v>23534.68118108646</v>
      </c>
      <c r="M73" s="25">
        <v>454035.87312976783</v>
      </c>
      <c r="N73" s="25">
        <v>5246240.7190827671</v>
      </c>
      <c r="O73" s="27">
        <v>0</v>
      </c>
      <c r="P73" s="27">
        <v>0</v>
      </c>
      <c r="Q73" s="27">
        <v>0</v>
      </c>
      <c r="R73" s="29">
        <v>0</v>
      </c>
      <c r="S73" s="29">
        <v>0</v>
      </c>
      <c r="T73" s="29">
        <v>0</v>
      </c>
    </row>
    <row r="74" spans="1:20" x14ac:dyDescent="0.25">
      <c r="A74" s="24">
        <f t="shared" si="14"/>
        <v>70</v>
      </c>
      <c r="B74" s="12">
        <v>0</v>
      </c>
      <c r="C74" s="12">
        <f t="shared" si="8"/>
        <v>1</v>
      </c>
      <c r="D74" s="25">
        <f t="shared" si="15"/>
        <v>92282.674156794877</v>
      </c>
      <c r="E74" s="25">
        <f t="shared" si="9"/>
        <v>0</v>
      </c>
      <c r="F74" s="6">
        <v>0</v>
      </c>
      <c r="G74" s="37">
        <f t="shared" si="10"/>
        <v>1</v>
      </c>
      <c r="H74" s="27">
        <f t="shared" si="11"/>
        <v>0</v>
      </c>
      <c r="I74" s="7">
        <v>0</v>
      </c>
      <c r="J74" s="38">
        <f t="shared" si="12"/>
        <v>1</v>
      </c>
      <c r="K74" s="29">
        <f t="shared" si="13"/>
        <v>0</v>
      </c>
      <c r="L74" s="25">
        <v>23073.216844202409</v>
      </c>
      <c r="M74" s="25">
        <v>430501.19194868137</v>
      </c>
      <c r="N74" s="25">
        <v>4792204.8459529988</v>
      </c>
      <c r="O74" s="27">
        <v>0</v>
      </c>
      <c r="P74" s="27">
        <v>0</v>
      </c>
      <c r="Q74" s="27">
        <v>0</v>
      </c>
      <c r="R74" s="29">
        <v>0</v>
      </c>
      <c r="S74" s="29">
        <v>0</v>
      </c>
      <c r="T74" s="29">
        <v>0</v>
      </c>
    </row>
    <row r="75" spans="1:20" x14ac:dyDescent="0.25">
      <c r="A75" s="24">
        <f t="shared" si="14"/>
        <v>71</v>
      </c>
      <c r="B75" s="12">
        <v>0</v>
      </c>
      <c r="C75" s="12">
        <f t="shared" si="8"/>
        <v>1</v>
      </c>
      <c r="D75" s="25">
        <f t="shared" si="15"/>
        <v>92282.674156794877</v>
      </c>
      <c r="E75" s="25">
        <f t="shared" si="9"/>
        <v>0</v>
      </c>
      <c r="F75" s="6">
        <v>0</v>
      </c>
      <c r="G75" s="37">
        <f t="shared" si="10"/>
        <v>1</v>
      </c>
      <c r="H75" s="27">
        <f t="shared" si="11"/>
        <v>0</v>
      </c>
      <c r="I75" s="7">
        <v>0</v>
      </c>
      <c r="J75" s="38">
        <f t="shared" si="12"/>
        <v>1</v>
      </c>
      <c r="K75" s="29">
        <f t="shared" si="13"/>
        <v>0</v>
      </c>
      <c r="L75" s="25">
        <v>22620.800827649418</v>
      </c>
      <c r="M75" s="25">
        <v>407427.975104479</v>
      </c>
      <c r="N75" s="25">
        <v>4361703.6540043177</v>
      </c>
      <c r="O75" s="27">
        <v>0</v>
      </c>
      <c r="P75" s="27">
        <v>0</v>
      </c>
      <c r="Q75" s="27">
        <v>0</v>
      </c>
      <c r="R75" s="29">
        <v>0</v>
      </c>
      <c r="S75" s="29">
        <v>0</v>
      </c>
      <c r="T75" s="29">
        <v>0</v>
      </c>
    </row>
    <row r="76" spans="1:20" x14ac:dyDescent="0.25">
      <c r="A76" s="24">
        <f t="shared" si="14"/>
        <v>72</v>
      </c>
      <c r="B76" s="12">
        <v>0</v>
      </c>
      <c r="C76" s="12">
        <f t="shared" si="8"/>
        <v>1</v>
      </c>
      <c r="D76" s="25">
        <f t="shared" si="15"/>
        <v>92282.674156794877</v>
      </c>
      <c r="E76" s="25">
        <f t="shared" si="9"/>
        <v>0</v>
      </c>
      <c r="F76" s="6">
        <v>0</v>
      </c>
      <c r="G76" s="37">
        <f t="shared" si="10"/>
        <v>1</v>
      </c>
      <c r="H76" s="27">
        <f t="shared" si="11"/>
        <v>0</v>
      </c>
      <c r="I76" s="7">
        <v>0</v>
      </c>
      <c r="J76" s="38">
        <f t="shared" si="12"/>
        <v>1</v>
      </c>
      <c r="K76" s="29">
        <f t="shared" si="13"/>
        <v>0</v>
      </c>
      <c r="L76" s="25">
        <v>22177.255713381783</v>
      </c>
      <c r="M76" s="25">
        <v>384807.17427682958</v>
      </c>
      <c r="N76" s="25">
        <v>3954275.6788998391</v>
      </c>
      <c r="O76" s="27">
        <v>0</v>
      </c>
      <c r="P76" s="27">
        <v>0</v>
      </c>
      <c r="Q76" s="27">
        <v>0</v>
      </c>
      <c r="R76" s="29">
        <v>0</v>
      </c>
      <c r="S76" s="29">
        <v>0</v>
      </c>
      <c r="T76" s="29">
        <v>0</v>
      </c>
    </row>
    <row r="77" spans="1:20" x14ac:dyDescent="0.25">
      <c r="A77" s="24">
        <f t="shared" si="14"/>
        <v>73</v>
      </c>
      <c r="B77" s="12">
        <v>0</v>
      </c>
      <c r="C77" s="12">
        <f t="shared" si="8"/>
        <v>1</v>
      </c>
      <c r="D77" s="25">
        <f t="shared" si="15"/>
        <v>92282.674156794877</v>
      </c>
      <c r="E77" s="25">
        <f t="shared" si="9"/>
        <v>0</v>
      </c>
      <c r="F77" s="6">
        <v>0</v>
      </c>
      <c r="G77" s="37">
        <f t="shared" si="10"/>
        <v>1</v>
      </c>
      <c r="H77" s="27">
        <f t="shared" si="11"/>
        <v>0</v>
      </c>
      <c r="I77" s="7">
        <v>0</v>
      </c>
      <c r="J77" s="38">
        <f t="shared" si="12"/>
        <v>1</v>
      </c>
      <c r="K77" s="29">
        <f t="shared" si="13"/>
        <v>0</v>
      </c>
      <c r="L77" s="25">
        <v>21742.407562139004</v>
      </c>
      <c r="M77" s="25">
        <v>362629.91856344778</v>
      </c>
      <c r="N77" s="25">
        <v>3569468.5046230094</v>
      </c>
      <c r="O77" s="27">
        <v>0</v>
      </c>
      <c r="P77" s="27">
        <v>0</v>
      </c>
      <c r="Q77" s="27">
        <v>0</v>
      </c>
      <c r="R77" s="29">
        <v>0</v>
      </c>
      <c r="S77" s="29">
        <v>0</v>
      </c>
      <c r="T77" s="29">
        <v>0</v>
      </c>
    </row>
    <row r="78" spans="1:20" x14ac:dyDescent="0.25">
      <c r="A78" s="24">
        <f t="shared" si="14"/>
        <v>74</v>
      </c>
      <c r="B78" s="12">
        <v>0</v>
      </c>
      <c r="C78" s="12">
        <f t="shared" si="8"/>
        <v>1</v>
      </c>
      <c r="D78" s="25">
        <f t="shared" si="15"/>
        <v>92282.674156794877</v>
      </c>
      <c r="E78" s="25">
        <f t="shared" si="9"/>
        <v>0</v>
      </c>
      <c r="F78" s="6">
        <v>0</v>
      </c>
      <c r="G78" s="37">
        <f t="shared" si="10"/>
        <v>1</v>
      </c>
      <c r="H78" s="27">
        <f t="shared" si="11"/>
        <v>0</v>
      </c>
      <c r="I78" s="7">
        <v>0</v>
      </c>
      <c r="J78" s="38">
        <f t="shared" si="12"/>
        <v>1</v>
      </c>
      <c r="K78" s="29">
        <f t="shared" si="13"/>
        <v>0</v>
      </c>
      <c r="L78" s="25">
        <v>21316.085845234316</v>
      </c>
      <c r="M78" s="25">
        <v>340887.51100130874</v>
      </c>
      <c r="N78" s="25">
        <v>3206838.5860595615</v>
      </c>
      <c r="O78" s="27">
        <v>0</v>
      </c>
      <c r="P78" s="27">
        <v>0</v>
      </c>
      <c r="Q78" s="27">
        <v>0</v>
      </c>
      <c r="R78" s="29">
        <v>0</v>
      </c>
      <c r="S78" s="29">
        <v>0</v>
      </c>
      <c r="T78" s="29">
        <v>0</v>
      </c>
    </row>
    <row r="79" spans="1:20" x14ac:dyDescent="0.25">
      <c r="A79" s="24">
        <f t="shared" si="14"/>
        <v>75</v>
      </c>
      <c r="B79" s="12">
        <v>0</v>
      </c>
      <c r="C79" s="12">
        <f t="shared" si="8"/>
        <v>1</v>
      </c>
      <c r="D79" s="25">
        <f t="shared" si="15"/>
        <v>92282.674156794877</v>
      </c>
      <c r="E79" s="25">
        <f t="shared" si="9"/>
        <v>0</v>
      </c>
      <c r="F79" s="6">
        <v>0</v>
      </c>
      <c r="G79" s="37">
        <f t="shared" si="10"/>
        <v>1</v>
      </c>
      <c r="H79" s="27">
        <f t="shared" si="11"/>
        <v>0</v>
      </c>
      <c r="I79" s="7">
        <v>0</v>
      </c>
      <c r="J79" s="38">
        <f t="shared" si="12"/>
        <v>1</v>
      </c>
      <c r="K79" s="29">
        <f t="shared" si="13"/>
        <v>0</v>
      </c>
      <c r="L79" s="25">
        <v>20898.123377680706</v>
      </c>
      <c r="M79" s="25">
        <v>319571.4251560744</v>
      </c>
      <c r="N79" s="25">
        <v>2865951.0750582526</v>
      </c>
      <c r="O79" s="27">
        <v>0</v>
      </c>
      <c r="P79" s="27">
        <v>0</v>
      </c>
      <c r="Q79" s="27">
        <v>0</v>
      </c>
      <c r="R79" s="29">
        <v>0</v>
      </c>
      <c r="S79" s="29">
        <v>0</v>
      </c>
      <c r="T79" s="29">
        <v>0</v>
      </c>
    </row>
    <row r="80" spans="1:20" x14ac:dyDescent="0.25">
      <c r="A80" s="24">
        <f t="shared" si="14"/>
        <v>76</v>
      </c>
      <c r="B80" s="12">
        <v>0</v>
      </c>
      <c r="C80" s="12">
        <f t="shared" si="8"/>
        <v>1</v>
      </c>
      <c r="D80" s="25">
        <f t="shared" si="15"/>
        <v>92282.674156794877</v>
      </c>
      <c r="E80" s="25">
        <f t="shared" si="9"/>
        <v>0</v>
      </c>
      <c r="F80" s="6">
        <v>0</v>
      </c>
      <c r="G80" s="37">
        <f t="shared" si="10"/>
        <v>1</v>
      </c>
      <c r="H80" s="27">
        <f t="shared" si="11"/>
        <v>0</v>
      </c>
      <c r="I80" s="7">
        <v>0</v>
      </c>
      <c r="J80" s="38">
        <f t="shared" si="12"/>
        <v>1</v>
      </c>
      <c r="K80" s="29">
        <f t="shared" si="13"/>
        <v>0</v>
      </c>
      <c r="L80" s="25">
        <v>20488.356252628142</v>
      </c>
      <c r="M80" s="25">
        <v>298673.30177839368</v>
      </c>
      <c r="N80" s="25">
        <v>2546379.649902178</v>
      </c>
      <c r="O80" s="27">
        <v>0</v>
      </c>
      <c r="P80" s="27">
        <v>0</v>
      </c>
      <c r="Q80" s="27">
        <v>0</v>
      </c>
      <c r="R80" s="29">
        <v>0</v>
      </c>
      <c r="S80" s="29">
        <v>0</v>
      </c>
      <c r="T80" s="29">
        <v>0</v>
      </c>
    </row>
    <row r="81" spans="1:20" x14ac:dyDescent="0.25">
      <c r="A81" s="24">
        <f t="shared" si="14"/>
        <v>77</v>
      </c>
      <c r="B81" s="12">
        <v>0</v>
      </c>
      <c r="C81" s="12">
        <f t="shared" si="8"/>
        <v>1</v>
      </c>
      <c r="D81" s="25">
        <f t="shared" si="15"/>
        <v>92282.674156794877</v>
      </c>
      <c r="E81" s="25">
        <f t="shared" si="9"/>
        <v>0</v>
      </c>
      <c r="F81" s="6">
        <v>0</v>
      </c>
      <c r="G81" s="37">
        <f t="shared" si="10"/>
        <v>1</v>
      </c>
      <c r="H81" s="27">
        <f t="shared" si="11"/>
        <v>0</v>
      </c>
      <c r="I81" s="7">
        <v>0</v>
      </c>
      <c r="J81" s="38">
        <f t="shared" si="12"/>
        <v>1</v>
      </c>
      <c r="K81" s="29">
        <f t="shared" si="13"/>
        <v>0</v>
      </c>
      <c r="L81" s="25">
        <v>20086.62377708641</v>
      </c>
      <c r="M81" s="25">
        <v>278184.94552576554</v>
      </c>
      <c r="N81" s="25">
        <v>2247706.3481237842</v>
      </c>
      <c r="O81" s="27">
        <v>0</v>
      </c>
      <c r="P81" s="27">
        <v>0</v>
      </c>
      <c r="Q81" s="27">
        <v>0</v>
      </c>
      <c r="R81" s="29">
        <v>0</v>
      </c>
      <c r="S81" s="29">
        <v>0</v>
      </c>
      <c r="T81" s="29">
        <v>0</v>
      </c>
    </row>
    <row r="82" spans="1:20" x14ac:dyDescent="0.25">
      <c r="A82" s="24">
        <f t="shared" si="14"/>
        <v>78</v>
      </c>
      <c r="B82" s="12">
        <v>0</v>
      </c>
      <c r="C82" s="12">
        <f t="shared" si="8"/>
        <v>1</v>
      </c>
      <c r="D82" s="25">
        <f t="shared" si="15"/>
        <v>92282.674156794877</v>
      </c>
      <c r="E82" s="25">
        <f t="shared" si="9"/>
        <v>0</v>
      </c>
      <c r="F82" s="6">
        <v>0</v>
      </c>
      <c r="G82" s="37">
        <f t="shared" si="10"/>
        <v>1</v>
      </c>
      <c r="H82" s="27">
        <f t="shared" si="11"/>
        <v>0</v>
      </c>
      <c r="I82" s="7">
        <v>0</v>
      </c>
      <c r="J82" s="38">
        <f t="shared" si="12"/>
        <v>1</v>
      </c>
      <c r="K82" s="29">
        <f t="shared" si="13"/>
        <v>0</v>
      </c>
      <c r="L82" s="25">
        <v>19692.768408908247</v>
      </c>
      <c r="M82" s="25">
        <v>258098.32174867918</v>
      </c>
      <c r="N82" s="25">
        <v>1969521.4025980188</v>
      </c>
      <c r="O82" s="27">
        <v>0</v>
      </c>
      <c r="P82" s="27">
        <v>0</v>
      </c>
      <c r="Q82" s="27">
        <v>0</v>
      </c>
      <c r="R82" s="29">
        <v>0</v>
      </c>
      <c r="S82" s="29">
        <v>0</v>
      </c>
      <c r="T82" s="29">
        <v>0</v>
      </c>
    </row>
    <row r="83" spans="1:20" x14ac:dyDescent="0.25">
      <c r="A83" s="24">
        <f t="shared" si="14"/>
        <v>79</v>
      </c>
      <c r="B83" s="12">
        <v>0</v>
      </c>
      <c r="C83" s="12">
        <f t="shared" si="8"/>
        <v>1</v>
      </c>
      <c r="D83" s="25">
        <f t="shared" si="15"/>
        <v>92282.674156794877</v>
      </c>
      <c r="E83" s="25">
        <f t="shared" si="9"/>
        <v>0</v>
      </c>
      <c r="F83" s="6">
        <v>0</v>
      </c>
      <c r="G83" s="37">
        <f t="shared" si="10"/>
        <v>1</v>
      </c>
      <c r="H83" s="27">
        <f t="shared" si="11"/>
        <v>0</v>
      </c>
      <c r="I83" s="7">
        <v>0</v>
      </c>
      <c r="J83" s="38">
        <f t="shared" si="12"/>
        <v>1</v>
      </c>
      <c r="K83" s="29">
        <f t="shared" si="13"/>
        <v>0</v>
      </c>
      <c r="L83" s="25">
        <v>19306.635695008081</v>
      </c>
      <c r="M83" s="25">
        <v>238405.55333977091</v>
      </c>
      <c r="N83" s="25">
        <v>1711423.0808493395</v>
      </c>
      <c r="O83" s="27">
        <v>0</v>
      </c>
      <c r="P83" s="27">
        <v>0</v>
      </c>
      <c r="Q83" s="27">
        <v>0</v>
      </c>
      <c r="R83" s="29">
        <v>0</v>
      </c>
      <c r="S83" s="29">
        <v>0</v>
      </c>
      <c r="T83" s="29">
        <v>0</v>
      </c>
    </row>
    <row r="84" spans="1:20" x14ac:dyDescent="0.25">
      <c r="A84" s="24">
        <f t="shared" si="14"/>
        <v>80</v>
      </c>
      <c r="B84" s="12">
        <v>0</v>
      </c>
      <c r="C84" s="12">
        <f t="shared" si="8"/>
        <v>1</v>
      </c>
      <c r="D84" s="25">
        <f t="shared" si="15"/>
        <v>92282.674156794877</v>
      </c>
      <c r="E84" s="25">
        <f t="shared" si="9"/>
        <v>0</v>
      </c>
      <c r="F84" s="6">
        <v>0</v>
      </c>
      <c r="G84" s="37">
        <f t="shared" si="10"/>
        <v>1</v>
      </c>
      <c r="H84" s="27">
        <f t="shared" si="11"/>
        <v>0</v>
      </c>
      <c r="I84" s="7">
        <v>0</v>
      </c>
      <c r="J84" s="38">
        <f t="shared" si="12"/>
        <v>1</v>
      </c>
      <c r="K84" s="29">
        <f t="shared" si="13"/>
        <v>0</v>
      </c>
      <c r="L84" s="25">
        <v>18928.074210792238</v>
      </c>
      <c r="M84" s="25">
        <v>219098.91764476281</v>
      </c>
      <c r="N84" s="25">
        <v>1473017.5275095685</v>
      </c>
      <c r="O84" s="27">
        <v>0</v>
      </c>
      <c r="P84" s="27">
        <v>0</v>
      </c>
      <c r="Q84" s="27">
        <v>0</v>
      </c>
      <c r="R84" s="29">
        <v>0</v>
      </c>
      <c r="S84" s="29">
        <v>0</v>
      </c>
      <c r="T84" s="29">
        <v>0</v>
      </c>
    </row>
    <row r="85" spans="1:20" x14ac:dyDescent="0.25">
      <c r="A85" s="24">
        <f t="shared" si="14"/>
        <v>81</v>
      </c>
      <c r="B85" s="12">
        <v>0</v>
      </c>
      <c r="C85" s="12">
        <f t="shared" si="8"/>
        <v>1</v>
      </c>
      <c r="D85" s="25">
        <f t="shared" si="15"/>
        <v>92282.674156794877</v>
      </c>
      <c r="E85" s="25">
        <f t="shared" si="9"/>
        <v>0</v>
      </c>
      <c r="F85" s="6">
        <v>0</v>
      </c>
      <c r="G85" s="37">
        <f t="shared" si="10"/>
        <v>1</v>
      </c>
      <c r="H85" s="27">
        <f t="shared" si="11"/>
        <v>0</v>
      </c>
      <c r="I85" s="7">
        <v>0</v>
      </c>
      <c r="J85" s="38">
        <f t="shared" si="12"/>
        <v>1</v>
      </c>
      <c r="K85" s="29">
        <f t="shared" si="13"/>
        <v>0</v>
      </c>
      <c r="L85" s="25">
        <v>18556.935500776704</v>
      </c>
      <c r="M85" s="25">
        <v>200170.84343397061</v>
      </c>
      <c r="N85" s="25">
        <v>1253918.6098648056</v>
      </c>
      <c r="O85" s="27">
        <v>0</v>
      </c>
      <c r="P85" s="27">
        <v>0</v>
      </c>
      <c r="Q85" s="27">
        <v>0</v>
      </c>
      <c r="R85" s="29">
        <v>0</v>
      </c>
      <c r="S85" s="29">
        <v>0</v>
      </c>
      <c r="T85" s="29">
        <v>0</v>
      </c>
    </row>
    <row r="86" spans="1:20" x14ac:dyDescent="0.25">
      <c r="A86" s="24">
        <f t="shared" si="14"/>
        <v>82</v>
      </c>
      <c r="B86" s="12">
        <v>0</v>
      </c>
      <c r="C86" s="12">
        <f t="shared" si="8"/>
        <v>1</v>
      </c>
      <c r="D86" s="25">
        <f t="shared" si="15"/>
        <v>92282.674156794877</v>
      </c>
      <c r="E86" s="25">
        <f t="shared" si="9"/>
        <v>0</v>
      </c>
      <c r="F86" s="6">
        <v>0</v>
      </c>
      <c r="G86" s="37">
        <f t="shared" si="10"/>
        <v>1</v>
      </c>
      <c r="H86" s="27">
        <f t="shared" si="11"/>
        <v>0</v>
      </c>
      <c r="I86" s="7">
        <v>0</v>
      </c>
      <c r="J86" s="38">
        <f t="shared" si="12"/>
        <v>1</v>
      </c>
      <c r="K86" s="29">
        <f t="shared" si="13"/>
        <v>0</v>
      </c>
      <c r="L86" s="25">
        <v>18193.07402036932</v>
      </c>
      <c r="M86" s="25">
        <v>181613.90793319387</v>
      </c>
      <c r="N86" s="25">
        <v>1053747.766430835</v>
      </c>
      <c r="O86" s="27">
        <v>0</v>
      </c>
      <c r="P86" s="27">
        <v>0</v>
      </c>
      <c r="Q86" s="27">
        <v>0</v>
      </c>
      <c r="R86" s="29">
        <v>0</v>
      </c>
      <c r="S86" s="29">
        <v>0</v>
      </c>
      <c r="T86" s="29">
        <v>0</v>
      </c>
    </row>
    <row r="87" spans="1:20" x14ac:dyDescent="0.25">
      <c r="A87" s="24">
        <f t="shared" si="14"/>
        <v>83</v>
      </c>
      <c r="B87" s="12">
        <v>0</v>
      </c>
      <c r="C87" s="12">
        <f t="shared" si="8"/>
        <v>1</v>
      </c>
      <c r="D87" s="25">
        <f t="shared" si="15"/>
        <v>92282.674156794877</v>
      </c>
      <c r="E87" s="25">
        <f t="shared" si="9"/>
        <v>0</v>
      </c>
      <c r="F87" s="6">
        <v>0</v>
      </c>
      <c r="G87" s="37">
        <f t="shared" si="10"/>
        <v>1</v>
      </c>
      <c r="H87" s="27">
        <f t="shared" si="11"/>
        <v>0</v>
      </c>
      <c r="I87" s="7">
        <v>0</v>
      </c>
      <c r="J87" s="38">
        <f t="shared" si="12"/>
        <v>1</v>
      </c>
      <c r="K87" s="29">
        <f t="shared" si="13"/>
        <v>0</v>
      </c>
      <c r="L87" s="25">
        <v>17836.347078793446</v>
      </c>
      <c r="M87" s="25">
        <v>163420.8339128246</v>
      </c>
      <c r="N87" s="25">
        <v>872133.85849764117</v>
      </c>
      <c r="O87" s="27">
        <v>0</v>
      </c>
      <c r="P87" s="27">
        <v>0</v>
      </c>
      <c r="Q87" s="27">
        <v>0</v>
      </c>
      <c r="R87" s="29">
        <v>0</v>
      </c>
      <c r="S87" s="29">
        <v>0</v>
      </c>
      <c r="T87" s="29">
        <v>0</v>
      </c>
    </row>
    <row r="88" spans="1:20" x14ac:dyDescent="0.25">
      <c r="A88" s="24">
        <f t="shared" si="14"/>
        <v>84</v>
      </c>
      <c r="B88" s="12">
        <v>0</v>
      </c>
      <c r="C88" s="12">
        <f t="shared" si="8"/>
        <v>1</v>
      </c>
      <c r="D88" s="25">
        <f t="shared" si="15"/>
        <v>92282.674156794877</v>
      </c>
      <c r="E88" s="25">
        <f t="shared" si="9"/>
        <v>0</v>
      </c>
      <c r="F88" s="6">
        <v>0</v>
      </c>
      <c r="G88" s="37">
        <f t="shared" si="10"/>
        <v>1</v>
      </c>
      <c r="H88" s="27">
        <f t="shared" si="11"/>
        <v>0</v>
      </c>
      <c r="I88" s="7">
        <v>0</v>
      </c>
      <c r="J88" s="38">
        <f t="shared" si="12"/>
        <v>1</v>
      </c>
      <c r="K88" s="29">
        <f t="shared" si="13"/>
        <v>0</v>
      </c>
      <c r="L88" s="25">
        <v>17486.61478313083</v>
      </c>
      <c r="M88" s="25">
        <v>145584.48683403112</v>
      </c>
      <c r="N88" s="25">
        <v>708713.02458481654</v>
      </c>
      <c r="O88" s="27">
        <v>0</v>
      </c>
      <c r="P88" s="27">
        <v>0</v>
      </c>
      <c r="Q88" s="27">
        <v>0</v>
      </c>
      <c r="R88" s="29">
        <v>0</v>
      </c>
      <c r="S88" s="29">
        <v>0</v>
      </c>
      <c r="T88" s="29">
        <v>0</v>
      </c>
    </row>
    <row r="89" spans="1:20" x14ac:dyDescent="0.25">
      <c r="A89" s="24">
        <f t="shared" si="14"/>
        <v>85</v>
      </c>
      <c r="B89" s="12">
        <v>0</v>
      </c>
      <c r="C89" s="12">
        <f t="shared" si="8"/>
        <v>1</v>
      </c>
      <c r="D89" s="25">
        <f t="shared" si="15"/>
        <v>92282.674156794877</v>
      </c>
      <c r="E89" s="25">
        <f t="shared" si="9"/>
        <v>0</v>
      </c>
      <c r="F89" s="6">
        <v>0</v>
      </c>
      <c r="G89" s="37">
        <f t="shared" si="10"/>
        <v>1</v>
      </c>
      <c r="H89" s="27">
        <f t="shared" si="11"/>
        <v>0</v>
      </c>
      <c r="I89" s="7">
        <v>0</v>
      </c>
      <c r="J89" s="38">
        <f t="shared" si="12"/>
        <v>1</v>
      </c>
      <c r="K89" s="29">
        <f t="shared" si="13"/>
        <v>0</v>
      </c>
      <c r="L89" s="25">
        <v>17143.739983461597</v>
      </c>
      <c r="M89" s="25">
        <v>128097.87205090029</v>
      </c>
      <c r="N89" s="25">
        <v>563128.53775078536</v>
      </c>
      <c r="O89" s="27">
        <v>0</v>
      </c>
      <c r="P89" s="27">
        <v>0</v>
      </c>
      <c r="Q89" s="27">
        <v>0</v>
      </c>
      <c r="R89" s="29">
        <v>0</v>
      </c>
      <c r="S89" s="29">
        <v>0</v>
      </c>
      <c r="T89" s="29">
        <v>0</v>
      </c>
    </row>
    <row r="90" spans="1:20" x14ac:dyDescent="0.25">
      <c r="A90" s="24">
        <f t="shared" si="14"/>
        <v>86</v>
      </c>
      <c r="B90" s="12">
        <v>0</v>
      </c>
      <c r="C90" s="12">
        <f t="shared" si="8"/>
        <v>1</v>
      </c>
      <c r="D90" s="25">
        <f t="shared" si="15"/>
        <v>92282.674156794877</v>
      </c>
      <c r="E90" s="25">
        <f t="shared" si="9"/>
        <v>0</v>
      </c>
      <c r="F90" s="6">
        <v>0</v>
      </c>
      <c r="G90" s="37">
        <f t="shared" si="10"/>
        <v>1</v>
      </c>
      <c r="H90" s="27">
        <f t="shared" si="11"/>
        <v>0</v>
      </c>
      <c r="I90" s="7">
        <v>0</v>
      </c>
      <c r="J90" s="38">
        <f t="shared" si="12"/>
        <v>1</v>
      </c>
      <c r="K90" s="29">
        <f t="shared" si="13"/>
        <v>0</v>
      </c>
      <c r="L90" s="25">
        <v>16807.58821908</v>
      </c>
      <c r="M90" s="25">
        <v>110954.13206743871</v>
      </c>
      <c r="N90" s="25">
        <v>435030.66569988511</v>
      </c>
      <c r="O90" s="27">
        <v>0</v>
      </c>
      <c r="P90" s="27">
        <v>0</v>
      </c>
      <c r="Q90" s="27">
        <v>0</v>
      </c>
      <c r="R90" s="29">
        <v>0</v>
      </c>
      <c r="S90" s="29">
        <v>0</v>
      </c>
      <c r="T90" s="29">
        <v>0</v>
      </c>
    </row>
    <row r="91" spans="1:20" x14ac:dyDescent="0.25">
      <c r="A91" s="24">
        <f t="shared" si="14"/>
        <v>87</v>
      </c>
      <c r="B91" s="12">
        <v>0</v>
      </c>
      <c r="C91" s="12">
        <f t="shared" si="8"/>
        <v>1</v>
      </c>
      <c r="D91" s="25">
        <f t="shared" si="15"/>
        <v>92282.674156794877</v>
      </c>
      <c r="E91" s="25">
        <f t="shared" si="9"/>
        <v>0</v>
      </c>
      <c r="F91" s="6">
        <v>0</v>
      </c>
      <c r="G91" s="37">
        <f t="shared" si="10"/>
        <v>1</v>
      </c>
      <c r="H91" s="27">
        <f t="shared" si="11"/>
        <v>0</v>
      </c>
      <c r="I91" s="7">
        <v>0</v>
      </c>
      <c r="J91" s="38">
        <f t="shared" si="12"/>
        <v>1</v>
      </c>
      <c r="K91" s="29">
        <f t="shared" si="13"/>
        <v>0</v>
      </c>
      <c r="L91" s="25">
        <v>16478.027665764705</v>
      </c>
      <c r="M91" s="25">
        <v>94146.543848358706</v>
      </c>
      <c r="N91" s="25">
        <v>324076.53363244643</v>
      </c>
      <c r="O91" s="27">
        <v>0</v>
      </c>
      <c r="P91" s="27">
        <v>0</v>
      </c>
      <c r="Q91" s="27">
        <v>0</v>
      </c>
      <c r="R91" s="29">
        <v>0</v>
      </c>
      <c r="S91" s="29">
        <v>0</v>
      </c>
      <c r="T91" s="29">
        <v>0</v>
      </c>
    </row>
    <row r="92" spans="1:20" x14ac:dyDescent="0.25">
      <c r="A92" s="24">
        <f t="shared" si="14"/>
        <v>88</v>
      </c>
      <c r="B92" s="12">
        <v>0</v>
      </c>
      <c r="C92" s="12">
        <f t="shared" si="8"/>
        <v>1</v>
      </c>
      <c r="D92" s="25">
        <f t="shared" si="15"/>
        <v>92282.674156794877</v>
      </c>
      <c r="E92" s="25">
        <f t="shared" si="9"/>
        <v>0</v>
      </c>
      <c r="F92" s="6">
        <v>0</v>
      </c>
      <c r="G92" s="37">
        <f t="shared" si="10"/>
        <v>1</v>
      </c>
      <c r="H92" s="27">
        <f t="shared" si="11"/>
        <v>0</v>
      </c>
      <c r="I92" s="7">
        <v>0</v>
      </c>
      <c r="J92" s="38">
        <f t="shared" si="12"/>
        <v>1</v>
      </c>
      <c r="K92" s="29">
        <f t="shared" si="13"/>
        <v>0</v>
      </c>
      <c r="L92" s="25">
        <v>16154.929084083044</v>
      </c>
      <c r="M92" s="25">
        <v>77668.516182593987</v>
      </c>
      <c r="N92" s="25">
        <v>229929.98978408775</v>
      </c>
      <c r="O92" s="27">
        <v>0</v>
      </c>
      <c r="P92" s="27">
        <v>0</v>
      </c>
      <c r="Q92" s="27">
        <v>0</v>
      </c>
      <c r="R92" s="29">
        <v>0</v>
      </c>
      <c r="S92" s="29">
        <v>0</v>
      </c>
      <c r="T92" s="29">
        <v>0</v>
      </c>
    </row>
    <row r="93" spans="1:20" x14ac:dyDescent="0.25">
      <c r="A93" s="24">
        <f t="shared" si="14"/>
        <v>89</v>
      </c>
      <c r="B93" s="12">
        <v>0</v>
      </c>
      <c r="C93" s="12">
        <f t="shared" si="8"/>
        <v>1</v>
      </c>
      <c r="D93" s="25">
        <f t="shared" si="15"/>
        <v>92282.674156794877</v>
      </c>
      <c r="E93" s="25">
        <f t="shared" si="9"/>
        <v>0</v>
      </c>
      <c r="F93" s="6">
        <v>0</v>
      </c>
      <c r="G93" s="37">
        <f t="shared" si="10"/>
        <v>1</v>
      </c>
      <c r="H93" s="27">
        <f t="shared" si="11"/>
        <v>0</v>
      </c>
      <c r="I93" s="7">
        <v>0</v>
      </c>
      <c r="J93" s="38">
        <f t="shared" si="12"/>
        <v>1</v>
      </c>
      <c r="K93" s="29">
        <f t="shared" si="13"/>
        <v>0</v>
      </c>
      <c r="L93" s="25">
        <v>15838.165768708865</v>
      </c>
      <c r="M93" s="25">
        <v>61513.58709851095</v>
      </c>
      <c r="N93" s="25">
        <v>152261.47360149375</v>
      </c>
      <c r="O93" s="27">
        <v>0</v>
      </c>
      <c r="P93" s="27">
        <v>0</v>
      </c>
      <c r="Q93" s="27">
        <v>0</v>
      </c>
      <c r="R93" s="29">
        <v>0</v>
      </c>
      <c r="S93" s="29">
        <v>0</v>
      </c>
      <c r="T93" s="29">
        <v>0</v>
      </c>
    </row>
    <row r="94" spans="1:20" x14ac:dyDescent="0.25">
      <c r="A94" s="24">
        <f t="shared" si="14"/>
        <v>90</v>
      </c>
      <c r="B94" s="12">
        <v>0</v>
      </c>
      <c r="C94" s="12">
        <f t="shared" si="8"/>
        <v>1</v>
      </c>
      <c r="D94" s="25">
        <f t="shared" si="15"/>
        <v>92282.674156794877</v>
      </c>
      <c r="E94" s="25">
        <f t="shared" si="9"/>
        <v>0</v>
      </c>
      <c r="F94" s="6">
        <v>0</v>
      </c>
      <c r="G94" s="37">
        <f t="shared" si="10"/>
        <v>1</v>
      </c>
      <c r="H94" s="27">
        <f t="shared" si="11"/>
        <v>0</v>
      </c>
      <c r="I94" s="7">
        <v>0</v>
      </c>
      <c r="J94" s="38">
        <f t="shared" si="12"/>
        <v>1</v>
      </c>
      <c r="K94" s="29">
        <f t="shared" si="13"/>
        <v>0</v>
      </c>
      <c r="L94" s="25">
        <v>15527.613498734179</v>
      </c>
      <c r="M94" s="25">
        <v>45675.421329802077</v>
      </c>
      <c r="N94" s="25">
        <v>90747.886502982801</v>
      </c>
      <c r="O94" s="27">
        <v>0</v>
      </c>
      <c r="P94" s="27">
        <v>0</v>
      </c>
      <c r="Q94" s="27">
        <v>0</v>
      </c>
      <c r="R94" s="29">
        <v>0</v>
      </c>
      <c r="S94" s="29">
        <v>0</v>
      </c>
      <c r="T94" s="29">
        <v>0</v>
      </c>
    </row>
    <row r="95" spans="1:20" x14ac:dyDescent="0.25">
      <c r="A95" s="24">
        <f t="shared" si="14"/>
        <v>91</v>
      </c>
      <c r="B95" s="12">
        <v>0</v>
      </c>
      <c r="C95" s="12">
        <f t="shared" si="8"/>
        <v>1</v>
      </c>
      <c r="D95" s="25">
        <f t="shared" si="15"/>
        <v>92282.674156794877</v>
      </c>
      <c r="E95" s="25">
        <f t="shared" si="9"/>
        <v>0</v>
      </c>
      <c r="F95" s="6">
        <v>0</v>
      </c>
      <c r="G95" s="37">
        <f t="shared" si="10"/>
        <v>1</v>
      </c>
      <c r="H95" s="27">
        <f t="shared" si="11"/>
        <v>0</v>
      </c>
      <c r="I95" s="7">
        <v>0</v>
      </c>
      <c r="J95" s="38">
        <f t="shared" si="12"/>
        <v>1</v>
      </c>
      <c r="K95" s="29">
        <f t="shared" si="13"/>
        <v>0</v>
      </c>
      <c r="L95" s="25">
        <v>15223.15048895508</v>
      </c>
      <c r="M95" s="25">
        <v>30147.807831067905</v>
      </c>
      <c r="N95" s="25">
        <v>45072.465173180724</v>
      </c>
      <c r="O95" s="27">
        <v>0</v>
      </c>
      <c r="P95" s="27">
        <v>0</v>
      </c>
      <c r="Q95" s="27">
        <v>0</v>
      </c>
      <c r="R95" s="29">
        <v>0</v>
      </c>
      <c r="S95" s="29">
        <v>0</v>
      </c>
      <c r="T95" s="29">
        <v>0</v>
      </c>
    </row>
    <row r="96" spans="1:20" x14ac:dyDescent="0.25">
      <c r="A96" s="24">
        <f t="shared" si="14"/>
        <v>92</v>
      </c>
      <c r="B96" s="12">
        <v>0</v>
      </c>
      <c r="C96" s="12">
        <f t="shared" si="8"/>
        <v>1</v>
      </c>
      <c r="D96" s="25">
        <f t="shared" si="15"/>
        <v>92282.674156794877</v>
      </c>
      <c r="E96" s="25">
        <f t="shared" si="9"/>
        <v>92282.674156794877</v>
      </c>
      <c r="F96" s="6">
        <v>0</v>
      </c>
      <c r="G96" s="37">
        <f t="shared" si="10"/>
        <v>1</v>
      </c>
      <c r="H96" s="27">
        <f t="shared" si="11"/>
        <v>0</v>
      </c>
      <c r="I96" s="7">
        <v>0</v>
      </c>
      <c r="J96" s="38">
        <f t="shared" si="12"/>
        <v>1</v>
      </c>
      <c r="K96" s="29">
        <f t="shared" si="13"/>
        <v>0</v>
      </c>
      <c r="L96" s="25">
        <v>14924.657342112823</v>
      </c>
      <c r="M96" s="25">
        <v>14924.657342112823</v>
      </c>
      <c r="N96" s="25">
        <v>14924.657342112823</v>
      </c>
      <c r="O96" s="27">
        <v>0</v>
      </c>
      <c r="P96" s="27">
        <v>0</v>
      </c>
      <c r="Q96" s="27">
        <v>0</v>
      </c>
      <c r="R96" s="29">
        <v>0</v>
      </c>
      <c r="S96" s="29">
        <v>0</v>
      </c>
      <c r="T96" s="29">
        <v>0</v>
      </c>
    </row>
  </sheetData>
  <mergeCells count="2">
    <mergeCell ref="A2:E2"/>
    <mergeCell ref="L2:N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2A8FA-526E-4547-B14B-C7CD79178F96}">
  <sheetPr codeName="Hoja10"/>
  <dimension ref="A1:T96"/>
  <sheetViews>
    <sheetView zoomScale="115" zoomScaleNormal="115" workbookViewId="0"/>
  </sheetViews>
  <sheetFormatPr baseColWidth="10" defaultRowHeight="15" x14ac:dyDescent="0.25"/>
  <cols>
    <col min="1" max="1" width="8.140625" style="1" bestFit="1" customWidth="1"/>
    <col min="2" max="10" width="11.42578125" style="1" customWidth="1"/>
    <col min="11" max="11" width="11.42578125" style="3" customWidth="1"/>
    <col min="12" max="13" width="11.42578125" style="1" customWidth="1"/>
    <col min="14" max="14" width="13.42578125" style="1" bestFit="1" customWidth="1"/>
    <col min="15" max="20" width="11.42578125" style="1" customWidth="1"/>
    <col min="21" max="16384" width="11.42578125" style="1"/>
  </cols>
  <sheetData>
    <row r="1" spans="1:20" ht="15.75" thickBot="1" x14ac:dyDescent="0.3">
      <c r="K1" s="1"/>
    </row>
    <row r="2" spans="1:20" x14ac:dyDescent="0.25">
      <c r="A2" s="99" t="s">
        <v>41</v>
      </c>
      <c r="B2" s="100"/>
      <c r="C2" s="100"/>
      <c r="D2" s="100"/>
      <c r="E2" s="101"/>
      <c r="G2" s="22" t="s">
        <v>3</v>
      </c>
      <c r="H2" s="85">
        <v>0.02</v>
      </c>
      <c r="I2" s="22" t="s">
        <v>4</v>
      </c>
      <c r="J2" s="86">
        <v>100000</v>
      </c>
      <c r="L2" s="89" t="s">
        <v>12</v>
      </c>
      <c r="M2" s="90"/>
      <c r="N2" s="91"/>
    </row>
    <row r="3" spans="1:20" x14ac:dyDescent="0.25">
      <c r="A3" s="21" t="s">
        <v>13</v>
      </c>
      <c r="B3" s="20" t="s">
        <v>1</v>
      </c>
      <c r="C3" s="20" t="s">
        <v>2</v>
      </c>
      <c r="D3" s="20" t="s">
        <v>5</v>
      </c>
      <c r="E3" s="20" t="s">
        <v>6</v>
      </c>
      <c r="F3" s="15" t="s">
        <v>16</v>
      </c>
      <c r="G3" s="15" t="s">
        <v>18</v>
      </c>
      <c r="H3" s="15" t="s">
        <v>19</v>
      </c>
      <c r="I3" s="18" t="s">
        <v>17</v>
      </c>
      <c r="J3" s="18" t="s">
        <v>23</v>
      </c>
      <c r="K3" s="18" t="s">
        <v>24</v>
      </c>
      <c r="L3" s="23" t="s">
        <v>7</v>
      </c>
      <c r="M3" s="23" t="s">
        <v>8</v>
      </c>
      <c r="N3" s="23" t="s">
        <v>9</v>
      </c>
      <c r="O3" s="16" t="s">
        <v>20</v>
      </c>
      <c r="P3" s="16" t="s">
        <v>21</v>
      </c>
      <c r="Q3" s="17" t="s">
        <v>22</v>
      </c>
      <c r="R3" s="18" t="s">
        <v>25</v>
      </c>
      <c r="S3" s="18" t="s">
        <v>26</v>
      </c>
      <c r="T3" s="19" t="s">
        <v>27</v>
      </c>
    </row>
    <row r="4" spans="1:20" x14ac:dyDescent="0.25">
      <c r="A4" s="24">
        <v>0</v>
      </c>
      <c r="B4" s="12" cm="1">
        <f t="array" ref="B4:B96">TDM!M6:M98</f>
        <v>4.6630781672351634E-3</v>
      </c>
      <c r="C4" s="12">
        <f>1-B4</f>
        <v>0.99533692183276479</v>
      </c>
      <c r="D4" s="25">
        <f>J2</f>
        <v>100000</v>
      </c>
      <c r="E4" s="25">
        <f>D4-D5</f>
        <v>466.30781672352168</v>
      </c>
      <c r="F4" s="6" cm="1">
        <f t="array" ref="F4:F96">TDM!K6:K98</f>
        <v>9.8991617024780389E-4</v>
      </c>
      <c r="G4" s="37">
        <f>1-F4</f>
        <v>0.9990100838297522</v>
      </c>
      <c r="H4" s="27">
        <f>D4*F4</f>
        <v>98.991617024780396</v>
      </c>
      <c r="I4" s="7" cm="1">
        <f t="array" ref="I4:I96">TDM!L6:L98</f>
        <v>3.6731619969873593E-3</v>
      </c>
      <c r="J4" s="38">
        <f>1-I4</f>
        <v>0.99632683800301269</v>
      </c>
      <c r="K4" s="29">
        <f>I4*D4</f>
        <v>367.31619969873594</v>
      </c>
      <c r="L4" s="25">
        <v>100000</v>
      </c>
      <c r="M4" s="25">
        <v>3569321.1851404677</v>
      </c>
      <c r="N4" s="25">
        <v>112914115.09591901</v>
      </c>
      <c r="O4" s="27">
        <v>97.050604926255289</v>
      </c>
      <c r="P4" s="27">
        <v>1800.3676792201452</v>
      </c>
      <c r="Q4" s="27">
        <v>17577.976767760952</v>
      </c>
      <c r="R4" s="29">
        <v>360.11392127327053</v>
      </c>
      <c r="S4" s="29">
        <v>16069.721934747104</v>
      </c>
      <c r="T4" s="29">
        <v>208421.44682744369</v>
      </c>
    </row>
    <row r="5" spans="1:20" x14ac:dyDescent="0.25">
      <c r="A5" s="24">
        <f>A4+1</f>
        <v>1</v>
      </c>
      <c r="B5" s="12">
        <v>1.135686809091048E-2</v>
      </c>
      <c r="C5" s="12">
        <f t="shared" ref="C5:C68" si="0">1-B5</f>
        <v>0.98864313190908948</v>
      </c>
      <c r="D5" s="25">
        <f>D4*C4</f>
        <v>99533.692183276478</v>
      </c>
      <c r="E5" s="25">
        <f t="shared" ref="E5:E68" si="1">D5-D6</f>
        <v>1130.3910127267591</v>
      </c>
      <c r="F5" s="6">
        <v>2.732001834456787E-3</v>
      </c>
      <c r="G5" s="37">
        <f t="shared" ref="G5:G68" si="2">1-F5</f>
        <v>0.99726799816554323</v>
      </c>
      <c r="H5" s="27">
        <f t="shared" ref="H5:H68" si="3">D5*F5</f>
        <v>271.92622963496848</v>
      </c>
      <c r="I5" s="7">
        <v>8.6248662564536935E-3</v>
      </c>
      <c r="J5" s="38">
        <f t="shared" ref="J5:J68" si="4">1-I5</f>
        <v>0.99137513374354636</v>
      </c>
      <c r="K5" s="29">
        <f t="shared" ref="K5:K68" si="5">I5*D5</f>
        <v>858.46478309179008</v>
      </c>
      <c r="L5" s="25">
        <v>97582.051160074974</v>
      </c>
      <c r="M5" s="25">
        <v>3469321.1851404686</v>
      </c>
      <c r="N5" s="25">
        <v>109344793.91077855</v>
      </c>
      <c r="O5" s="27">
        <v>261.36700272488321</v>
      </c>
      <c r="P5" s="27">
        <v>1703.3170742938896</v>
      </c>
      <c r="Q5" s="27">
        <v>15777.609088540808</v>
      </c>
      <c r="R5" s="29">
        <v>825.12954930006742</v>
      </c>
      <c r="S5" s="29">
        <v>15709.608013473833</v>
      </c>
      <c r="T5" s="29">
        <v>192351.7248926966</v>
      </c>
    </row>
    <row r="6" spans="1:20" x14ac:dyDescent="0.25">
      <c r="A6" s="24">
        <f t="shared" ref="A6:A69" si="6">A5+1</f>
        <v>2</v>
      </c>
      <c r="B6" s="12">
        <v>1.2452255822710487E-2</v>
      </c>
      <c r="C6" s="12">
        <f t="shared" si="0"/>
        <v>0.98754774417728952</v>
      </c>
      <c r="D6" s="25">
        <f t="shared" ref="D6:D69" si="7">D5*C5</f>
        <v>98403.301170549719</v>
      </c>
      <c r="E6" s="25">
        <f t="shared" si="1"/>
        <v>1225.343079974904</v>
      </c>
      <c r="F6" s="6">
        <v>2.4353677120313947E-3</v>
      </c>
      <c r="G6" s="37">
        <f t="shared" si="2"/>
        <v>0.99756463228796866</v>
      </c>
      <c r="H6" s="27">
        <f t="shared" si="3"/>
        <v>239.64822242805792</v>
      </c>
      <c r="I6" s="7">
        <v>1.0016888110679092E-2</v>
      </c>
      <c r="J6" s="38">
        <f t="shared" si="4"/>
        <v>0.98998311188932087</v>
      </c>
      <c r="K6" s="29">
        <f t="shared" si="5"/>
        <v>985.69485754685354</v>
      </c>
      <c r="L6" s="25">
        <v>94582.181055891706</v>
      </c>
      <c r="M6" s="25">
        <v>3371739.1339803929</v>
      </c>
      <c r="N6" s="25">
        <v>105875472.72563808</v>
      </c>
      <c r="O6" s="27">
        <v>225.8258724284569</v>
      </c>
      <c r="P6" s="27">
        <v>1441.9500715690062</v>
      </c>
      <c r="Q6" s="27">
        <v>14074.292014246919</v>
      </c>
      <c r="R6" s="29">
        <v>928.84227931456735</v>
      </c>
      <c r="S6" s="29">
        <v>14884.478464173764</v>
      </c>
      <c r="T6" s="29">
        <v>176642.11687922277</v>
      </c>
    </row>
    <row r="7" spans="1:20" x14ac:dyDescent="0.25">
      <c r="A7" s="24">
        <f t="shared" si="6"/>
        <v>3</v>
      </c>
      <c r="B7" s="12">
        <v>1.2809048113276338E-2</v>
      </c>
      <c r="C7" s="12">
        <f t="shared" si="0"/>
        <v>0.98719095188672368</v>
      </c>
      <c r="D7" s="25">
        <f t="shared" si="7"/>
        <v>97177.958090574815</v>
      </c>
      <c r="E7" s="25">
        <f t="shared" si="1"/>
        <v>1244.7571407321229</v>
      </c>
      <c r="F7" s="6">
        <v>2.0604022004567049E-3</v>
      </c>
      <c r="G7" s="37">
        <f t="shared" si="2"/>
        <v>0.99793959779954333</v>
      </c>
      <c r="H7" s="27">
        <f t="shared" si="3"/>
        <v>200.22567868570979</v>
      </c>
      <c r="I7" s="7">
        <v>1.0748645912819633E-2</v>
      </c>
      <c r="J7" s="38">
        <f t="shared" si="4"/>
        <v>0.98925135408718035</v>
      </c>
      <c r="K7" s="29">
        <f t="shared" si="5"/>
        <v>1044.5314620464146</v>
      </c>
      <c r="L7" s="25">
        <v>91572.960334425297</v>
      </c>
      <c r="M7" s="25">
        <v>3277156.9529245016</v>
      </c>
      <c r="N7" s="25">
        <v>102503733.59165768</v>
      </c>
      <c r="O7" s="27">
        <v>184.97757742684752</v>
      </c>
      <c r="P7" s="27">
        <v>1216.1241991405489</v>
      </c>
      <c r="Q7" s="27">
        <v>12632.341942677913</v>
      </c>
      <c r="R7" s="29">
        <v>964.98561355236768</v>
      </c>
      <c r="S7" s="29">
        <v>13955.636184859195</v>
      </c>
      <c r="T7" s="29">
        <v>161757.638415049</v>
      </c>
    </row>
    <row r="8" spans="1:20" x14ac:dyDescent="0.25">
      <c r="A8" s="24">
        <f t="shared" si="6"/>
        <v>4</v>
      </c>
      <c r="B8" s="12">
        <v>1.2950693137413498E-2</v>
      </c>
      <c r="C8" s="12">
        <f t="shared" si="0"/>
        <v>0.98704930686258652</v>
      </c>
      <c r="D8" s="25">
        <f t="shared" si="7"/>
        <v>95933.200949842692</v>
      </c>
      <c r="E8" s="25">
        <f t="shared" si="1"/>
        <v>1242.4014471912378</v>
      </c>
      <c r="F8" s="6">
        <v>1.7027165125249942E-3</v>
      </c>
      <c r="G8" s="37">
        <f t="shared" si="2"/>
        <v>0.99829728348747504</v>
      </c>
      <c r="H8" s="27">
        <f t="shared" si="3"/>
        <v>163.34704535667561</v>
      </c>
      <c r="I8" s="7">
        <v>1.1247976624888504E-2</v>
      </c>
      <c r="J8" s="38">
        <f t="shared" si="4"/>
        <v>0.98875202337511148</v>
      </c>
      <c r="K8" s="29">
        <f t="shared" si="5"/>
        <v>1079.0544018345622</v>
      </c>
      <c r="L8" s="25">
        <v>88627.448901594616</v>
      </c>
      <c r="M8" s="25">
        <v>3185583.9925900768</v>
      </c>
      <c r="N8" s="25">
        <v>99226576.638733178</v>
      </c>
      <c r="O8" s="27">
        <v>147.94845167422582</v>
      </c>
      <c r="P8" s="27">
        <v>1031.1466217137015</v>
      </c>
      <c r="Q8" s="27">
        <v>11416.217743537363</v>
      </c>
      <c r="R8" s="29">
        <v>977.33281722415359</v>
      </c>
      <c r="S8" s="29">
        <v>12990.650571306829</v>
      </c>
      <c r="T8" s="29">
        <v>147802.0022301898</v>
      </c>
    </row>
    <row r="9" spans="1:20" x14ac:dyDescent="0.25">
      <c r="A9" s="24">
        <f t="shared" si="6"/>
        <v>5</v>
      </c>
      <c r="B9" s="12">
        <v>1.2267144214467667E-2</v>
      </c>
      <c r="C9" s="12">
        <f t="shared" si="0"/>
        <v>0.98773285578553238</v>
      </c>
      <c r="D9" s="25">
        <f t="shared" si="7"/>
        <v>94690.799502651455</v>
      </c>
      <c r="E9" s="25">
        <f t="shared" si="1"/>
        <v>1161.5856932822644</v>
      </c>
      <c r="F9" s="6">
        <v>1.3853921714046414E-3</v>
      </c>
      <c r="G9" s="37">
        <f t="shared" si="2"/>
        <v>0.99861460782859535</v>
      </c>
      <c r="H9" s="27">
        <f t="shared" si="3"/>
        <v>131.18389233501983</v>
      </c>
      <c r="I9" s="7">
        <v>1.0881752043063025E-2</v>
      </c>
      <c r="J9" s="38">
        <f t="shared" si="4"/>
        <v>0.98911824795693692</v>
      </c>
      <c r="K9" s="29">
        <f t="shared" si="5"/>
        <v>1030.4018009472488</v>
      </c>
      <c r="L9" s="25">
        <v>85764.3745169787</v>
      </c>
      <c r="M9" s="25">
        <v>3096956.5436884821</v>
      </c>
      <c r="N9" s="25">
        <v>96040992.646143109</v>
      </c>
      <c r="O9" s="27">
        <v>116.48754219729216</v>
      </c>
      <c r="P9" s="27">
        <v>883.19817003947549</v>
      </c>
      <c r="Q9" s="27">
        <v>10385.071121823661</v>
      </c>
      <c r="R9" s="29">
        <v>914.96731139427004</v>
      </c>
      <c r="S9" s="29">
        <v>12013.317754082675</v>
      </c>
      <c r="T9" s="29">
        <v>134811.35165888298</v>
      </c>
    </row>
    <row r="10" spans="1:20" x14ac:dyDescent="0.25">
      <c r="A10" s="24">
        <f t="shared" si="6"/>
        <v>6</v>
      </c>
      <c r="B10" s="12">
        <v>1.1617249399366829E-2</v>
      </c>
      <c r="C10" s="12">
        <f t="shared" si="0"/>
        <v>0.98838275060063319</v>
      </c>
      <c r="D10" s="25">
        <f t="shared" si="7"/>
        <v>93529.21380936919</v>
      </c>
      <c r="E10" s="25">
        <f t="shared" si="1"/>
        <v>1086.5522029501444</v>
      </c>
      <c r="F10" s="6">
        <v>1.0730239252491527E-3</v>
      </c>
      <c r="G10" s="37">
        <f t="shared" si="2"/>
        <v>0.99892697607475089</v>
      </c>
      <c r="H10" s="27">
        <f t="shared" si="3"/>
        <v>100.35908412719658</v>
      </c>
      <c r="I10" s="7">
        <v>1.0544225474117676E-2</v>
      </c>
      <c r="J10" s="38">
        <f t="shared" si="4"/>
        <v>0.98945577452588229</v>
      </c>
      <c r="K10" s="29">
        <f t="shared" si="5"/>
        <v>986.19311882294937</v>
      </c>
      <c r="L10" s="25">
        <v>83051.265261093431</v>
      </c>
      <c r="M10" s="25">
        <v>3011192.1691715042</v>
      </c>
      <c r="N10" s="25">
        <v>92944036.102454633</v>
      </c>
      <c r="O10" s="27">
        <v>87.368622203301058</v>
      </c>
      <c r="P10" s="27">
        <v>766.71062784218338</v>
      </c>
      <c r="Q10" s="27">
        <v>9501.8729517841857</v>
      </c>
      <c r="R10" s="29">
        <v>858.54045767031948</v>
      </c>
      <c r="S10" s="29">
        <v>11098.350442688405</v>
      </c>
      <c r="T10" s="29">
        <v>122798.03390480031</v>
      </c>
    </row>
    <row r="11" spans="1:20" x14ac:dyDescent="0.25">
      <c r="A11" s="24">
        <f t="shared" si="6"/>
        <v>7</v>
      </c>
      <c r="B11" s="12">
        <v>1.1019226034498232E-2</v>
      </c>
      <c r="C11" s="12">
        <f t="shared" si="0"/>
        <v>0.98898077396550177</v>
      </c>
      <c r="D11" s="25">
        <f t="shared" si="7"/>
        <v>92442.661606419046</v>
      </c>
      <c r="E11" s="25">
        <f t="shared" si="1"/>
        <v>1018.6465834717674</v>
      </c>
      <c r="F11" s="6">
        <v>8.7459629682825517E-4</v>
      </c>
      <c r="G11" s="37">
        <f t="shared" si="2"/>
        <v>0.99912540370317171</v>
      </c>
      <c r="H11" s="27">
        <f t="shared" si="3"/>
        <v>80.85000950992162</v>
      </c>
      <c r="I11" s="7">
        <v>1.0144629737669978E-2</v>
      </c>
      <c r="J11" s="38">
        <f t="shared" si="4"/>
        <v>0.98985537026233006</v>
      </c>
      <c r="K11" s="29">
        <f t="shared" si="5"/>
        <v>937.79657396184132</v>
      </c>
      <c r="L11" s="25">
        <v>80476.89999962975</v>
      </c>
      <c r="M11" s="25">
        <v>2928140.9039104101</v>
      </c>
      <c r="N11" s="25">
        <v>89932843.933283135</v>
      </c>
      <c r="O11" s="27">
        <v>69.004704627347039</v>
      </c>
      <c r="P11" s="27">
        <v>679.34200563888248</v>
      </c>
      <c r="Q11" s="27">
        <v>8735.1623239420023</v>
      </c>
      <c r="R11" s="29">
        <v>800.40034601150671</v>
      </c>
      <c r="S11" s="29">
        <v>10239.809985018088</v>
      </c>
      <c r="T11" s="29">
        <v>111699.68346211191</v>
      </c>
    </row>
    <row r="12" spans="1:20" x14ac:dyDescent="0.25">
      <c r="A12" s="24">
        <f t="shared" si="6"/>
        <v>8</v>
      </c>
      <c r="B12" s="12">
        <v>1.049647850529252E-2</v>
      </c>
      <c r="C12" s="12">
        <f t="shared" si="0"/>
        <v>0.98950352149470744</v>
      </c>
      <c r="D12" s="25">
        <f t="shared" si="7"/>
        <v>91424.015022947278</v>
      </c>
      <c r="E12" s="25">
        <f t="shared" si="1"/>
        <v>959.63020855591458</v>
      </c>
      <c r="F12" s="6">
        <v>7.2517274595313927E-4</v>
      </c>
      <c r="G12" s="37">
        <f t="shared" si="2"/>
        <v>0.99927482725404682</v>
      </c>
      <c r="H12" s="27">
        <f t="shared" si="3"/>
        <v>66.298204020251731</v>
      </c>
      <c r="I12" s="7">
        <v>9.7713057593393805E-3</v>
      </c>
      <c r="J12" s="38">
        <f t="shared" si="4"/>
        <v>0.99022869424066062</v>
      </c>
      <c r="K12" s="29">
        <f t="shared" si="5"/>
        <v>893.33200453565473</v>
      </c>
      <c r="L12" s="25">
        <v>78029.516517625598</v>
      </c>
      <c r="M12" s="25">
        <v>2847664.0039107804</v>
      </c>
      <c r="N12" s="25">
        <v>87004703.029372722</v>
      </c>
      <c r="O12" s="27">
        <v>55.47537133184548</v>
      </c>
      <c r="P12" s="27">
        <v>610.33730101153537</v>
      </c>
      <c r="Q12" s="27">
        <v>8055.8203183031201</v>
      </c>
      <c r="R12" s="29">
        <v>747.50025896778652</v>
      </c>
      <c r="S12" s="29">
        <v>9439.4096390065806</v>
      </c>
      <c r="T12" s="29">
        <v>101459.87347709382</v>
      </c>
    </row>
    <row r="13" spans="1:20" x14ac:dyDescent="0.25">
      <c r="A13" s="24">
        <f t="shared" si="6"/>
        <v>9</v>
      </c>
      <c r="B13" s="12">
        <v>9.5980679743704212E-3</v>
      </c>
      <c r="C13" s="12">
        <f t="shared" si="0"/>
        <v>0.99040193202562954</v>
      </c>
      <c r="D13" s="25">
        <f t="shared" si="7"/>
        <v>90464.384814391364</v>
      </c>
      <c r="E13" s="25">
        <f t="shared" si="1"/>
        <v>868.2833147081401</v>
      </c>
      <c r="F13" s="6">
        <v>6.2260614655405984E-4</v>
      </c>
      <c r="G13" s="37">
        <f t="shared" si="2"/>
        <v>0.99937739385344593</v>
      </c>
      <c r="H13" s="27">
        <f t="shared" si="3"/>
        <v>56.323682029671815</v>
      </c>
      <c r="I13" s="7">
        <v>8.9754618278163611E-3</v>
      </c>
      <c r="J13" s="38">
        <f t="shared" si="4"/>
        <v>0.99102453817218361</v>
      </c>
      <c r="K13" s="29">
        <f t="shared" si="5"/>
        <v>811.9596326784598</v>
      </c>
      <c r="L13" s="25">
        <v>75696.550367372518</v>
      </c>
      <c r="M13" s="25">
        <v>2769634.4873931552</v>
      </c>
      <c r="N13" s="25">
        <v>84157039.025461942</v>
      </c>
      <c r="O13" s="27">
        <v>46.205036795750097</v>
      </c>
      <c r="P13" s="27">
        <v>554.86192967968987</v>
      </c>
      <c r="Q13" s="27">
        <v>7445.4830172915845</v>
      </c>
      <c r="R13" s="29">
        <v>666.0897042350299</v>
      </c>
      <c r="S13" s="29">
        <v>8691.9093800387946</v>
      </c>
      <c r="T13" s="29">
        <v>92020.463838087235</v>
      </c>
    </row>
    <row r="14" spans="1:20" x14ac:dyDescent="0.25">
      <c r="A14" s="24">
        <f t="shared" si="6"/>
        <v>10</v>
      </c>
      <c r="B14" s="12">
        <v>9.6414242239712278E-3</v>
      </c>
      <c r="C14" s="12">
        <f t="shared" si="0"/>
        <v>0.99035857577602882</v>
      </c>
      <c r="D14" s="25">
        <f t="shared" si="7"/>
        <v>89596.101499683224</v>
      </c>
      <c r="E14" s="25">
        <f t="shared" si="1"/>
        <v>863.83402337243024</v>
      </c>
      <c r="F14" s="6">
        <v>5.0573225603445932E-4</v>
      </c>
      <c r="G14" s="37">
        <f t="shared" si="2"/>
        <v>0.99949426774396555</v>
      </c>
      <c r="H14" s="27">
        <f t="shared" si="3"/>
        <v>45.311638543327199</v>
      </c>
      <c r="I14" s="7">
        <v>9.1356919679367685E-3</v>
      </c>
      <c r="J14" s="38">
        <f t="shared" si="4"/>
        <v>0.99086430803206327</v>
      </c>
      <c r="K14" s="29">
        <f t="shared" si="5"/>
        <v>818.52238482910354</v>
      </c>
      <c r="L14" s="25">
        <v>73500.009540706975</v>
      </c>
      <c r="M14" s="25">
        <v>2693937.9370257836</v>
      </c>
      <c r="N14" s="25">
        <v>81387404.538068786</v>
      </c>
      <c r="O14" s="27">
        <v>36.442476121152957</v>
      </c>
      <c r="P14" s="27">
        <v>508.65689288393992</v>
      </c>
      <c r="Q14" s="27">
        <v>6890.6210876118948</v>
      </c>
      <c r="R14" s="29">
        <v>658.30730078854174</v>
      </c>
      <c r="S14" s="29">
        <v>8025.8196758037702</v>
      </c>
      <c r="T14" s="29">
        <v>83328.554458048442</v>
      </c>
    </row>
    <row r="15" spans="1:20" x14ac:dyDescent="0.25">
      <c r="A15" s="24">
        <f t="shared" si="6"/>
        <v>11</v>
      </c>
      <c r="B15" s="12">
        <v>9.0052431220497189E-3</v>
      </c>
      <c r="C15" s="12">
        <f t="shared" si="0"/>
        <v>0.99099475687795024</v>
      </c>
      <c r="D15" s="25">
        <f t="shared" si="7"/>
        <v>88732.267476310793</v>
      </c>
      <c r="E15" s="25">
        <f t="shared" si="1"/>
        <v>799.05564139492344</v>
      </c>
      <c r="F15" s="6">
        <v>4.1625909808980054E-4</v>
      </c>
      <c r="G15" s="37">
        <f t="shared" si="2"/>
        <v>0.99958374090191016</v>
      </c>
      <c r="H15" s="27">
        <f t="shared" si="3"/>
        <v>36.935613631152073</v>
      </c>
      <c r="I15" s="7">
        <v>8.5889840239599183E-3</v>
      </c>
      <c r="J15" s="38">
        <f t="shared" si="4"/>
        <v>0.99141101597604009</v>
      </c>
      <c r="K15" s="29">
        <f t="shared" si="5"/>
        <v>762.12002776377165</v>
      </c>
      <c r="L15" s="25">
        <v>71364.083106136357</v>
      </c>
      <c r="M15" s="25">
        <v>2620437.9274850767</v>
      </c>
      <c r="N15" s="25">
        <v>78693466.601043001</v>
      </c>
      <c r="O15" s="27">
        <v>29.123479284084205</v>
      </c>
      <c r="P15" s="27">
        <v>472.21441676278693</v>
      </c>
      <c r="Q15" s="27">
        <v>6381.9641947279551</v>
      </c>
      <c r="R15" s="29">
        <v>600.9264408658363</v>
      </c>
      <c r="S15" s="29">
        <v>7367.5123750152279</v>
      </c>
      <c r="T15" s="29">
        <v>75302.734782244675</v>
      </c>
    </row>
    <row r="16" spans="1:20" x14ac:dyDescent="0.25">
      <c r="A16" s="24">
        <f t="shared" si="6"/>
        <v>12</v>
      </c>
      <c r="B16" s="12">
        <v>8.5832774783696081E-3</v>
      </c>
      <c r="C16" s="12">
        <f t="shared" si="0"/>
        <v>0.99141672252163038</v>
      </c>
      <c r="D16" s="25">
        <f t="shared" si="7"/>
        <v>87933.21183491587</v>
      </c>
      <c r="E16" s="25">
        <f t="shared" si="1"/>
        <v>754.75515674334019</v>
      </c>
      <c r="F16" s="6">
        <v>3.1733350898677682E-4</v>
      </c>
      <c r="G16" s="37">
        <f t="shared" si="2"/>
        <v>0.99968266649101323</v>
      </c>
      <c r="H16" s="27">
        <f t="shared" si="3"/>
        <v>27.904154668051426</v>
      </c>
      <c r="I16" s="7">
        <v>8.2659439693828305E-3</v>
      </c>
      <c r="J16" s="38">
        <f t="shared" si="4"/>
        <v>0.99173405603061715</v>
      </c>
      <c r="K16" s="29">
        <f t="shared" si="5"/>
        <v>726.85100207528581</v>
      </c>
      <c r="L16" s="25">
        <v>69334.737438807293</v>
      </c>
      <c r="M16" s="25">
        <v>2549073.8443789398</v>
      </c>
      <c r="N16" s="25">
        <v>76073028.673557922</v>
      </c>
      <c r="O16" s="27">
        <v>21.570819143268199</v>
      </c>
      <c r="P16" s="27">
        <v>443.0909374787027</v>
      </c>
      <c r="Q16" s="27">
        <v>5909.7497779651685</v>
      </c>
      <c r="R16" s="29">
        <v>561.87946549122648</v>
      </c>
      <c r="S16" s="29">
        <v>6766.5859341493915</v>
      </c>
      <c r="T16" s="29">
        <v>67935.222407229448</v>
      </c>
    </row>
    <row r="17" spans="1:20" x14ac:dyDescent="0.25">
      <c r="A17" s="24">
        <f t="shared" si="6"/>
        <v>13</v>
      </c>
      <c r="B17" s="12">
        <v>8.0526779552884033E-3</v>
      </c>
      <c r="C17" s="12">
        <f t="shared" si="0"/>
        <v>0.99194732204471159</v>
      </c>
      <c r="D17" s="25">
        <f t="shared" si="7"/>
        <v>87178.45667817253</v>
      </c>
      <c r="E17" s="25">
        <f t="shared" si="1"/>
        <v>702.02003626838268</v>
      </c>
      <c r="F17" s="6">
        <v>3.5131443603054623E-4</v>
      </c>
      <c r="G17" s="37">
        <f t="shared" si="2"/>
        <v>0.99964868556396946</v>
      </c>
      <c r="H17" s="27">
        <f t="shared" si="3"/>
        <v>30.627050341905587</v>
      </c>
      <c r="I17" s="7">
        <v>7.7013635192578565E-3</v>
      </c>
      <c r="J17" s="38">
        <f t="shared" si="4"/>
        <v>0.99229863648074212</v>
      </c>
      <c r="K17" s="29">
        <f t="shared" si="5"/>
        <v>671.39298592647935</v>
      </c>
      <c r="L17" s="25">
        <v>67391.7824985099</v>
      </c>
      <c r="M17" s="25">
        <v>2479739.1069401326</v>
      </c>
      <c r="N17" s="25">
        <v>73523954.829178989</v>
      </c>
      <c r="O17" s="27">
        <v>23.211476530938473</v>
      </c>
      <c r="P17" s="27">
        <v>421.52011833543452</v>
      </c>
      <c r="Q17" s="27">
        <v>5466.658840486466</v>
      </c>
      <c r="R17" s="29">
        <v>508.83197571743557</v>
      </c>
      <c r="S17" s="29">
        <v>6204.7064686581643</v>
      </c>
      <c r="T17" s="29">
        <v>61168.636473080056</v>
      </c>
    </row>
    <row r="18" spans="1:20" x14ac:dyDescent="0.25">
      <c r="A18" s="24">
        <f t="shared" si="6"/>
        <v>14</v>
      </c>
      <c r="B18" s="12">
        <v>7.5945544255589621E-3</v>
      </c>
      <c r="C18" s="12">
        <f t="shared" si="0"/>
        <v>0.99240544557444099</v>
      </c>
      <c r="D18" s="25">
        <f t="shared" si="7"/>
        <v>86476.436641904147</v>
      </c>
      <c r="E18" s="25">
        <f t="shared" si="1"/>
        <v>656.75000460534648</v>
      </c>
      <c r="F18" s="6">
        <v>2.9536264417685722E-4</v>
      </c>
      <c r="G18" s="37">
        <f t="shared" si="2"/>
        <v>0.99970463735582316</v>
      </c>
      <c r="H18" s="27">
        <f t="shared" si="3"/>
        <v>25.541908985545273</v>
      </c>
      <c r="I18" s="7">
        <v>7.2991917813821049E-3</v>
      </c>
      <c r="J18" s="38">
        <f t="shared" si="4"/>
        <v>0.99270080821861795</v>
      </c>
      <c r="K18" s="29">
        <f t="shared" si="5"/>
        <v>631.20809561979706</v>
      </c>
      <c r="L18" s="25">
        <v>65538.331546290749</v>
      </c>
      <c r="M18" s="25">
        <v>2412347.3244416229</v>
      </c>
      <c r="N18" s="25">
        <v>71044215.722238854</v>
      </c>
      <c r="O18" s="27">
        <v>18.978014608286248</v>
      </c>
      <c r="P18" s="27">
        <v>398.30864180449606</v>
      </c>
      <c r="Q18" s="27">
        <v>5045.1387221510313</v>
      </c>
      <c r="R18" s="29">
        <v>468.99691273351073</v>
      </c>
      <c r="S18" s="29">
        <v>5695.8744929407303</v>
      </c>
      <c r="T18" s="29">
        <v>54963.930004421891</v>
      </c>
    </row>
    <row r="19" spans="1:20" x14ac:dyDescent="0.25">
      <c r="A19" s="24">
        <f t="shared" si="6"/>
        <v>15</v>
      </c>
      <c r="B19" s="12">
        <v>7.2830507044706599E-3</v>
      </c>
      <c r="C19" s="12">
        <f t="shared" si="0"/>
        <v>0.99271694929552934</v>
      </c>
      <c r="D19" s="25">
        <f t="shared" si="7"/>
        <v>85819.686637298801</v>
      </c>
      <c r="E19" s="25">
        <f t="shared" si="1"/>
        <v>625.02912922123505</v>
      </c>
      <c r="F19" s="6">
        <v>2.3749078384143458E-4</v>
      </c>
      <c r="G19" s="37">
        <f t="shared" si="2"/>
        <v>0.99976250921615861</v>
      </c>
      <c r="H19" s="27">
        <f t="shared" si="3"/>
        <v>20.381384648518381</v>
      </c>
      <c r="I19" s="7">
        <v>7.0455599206292255E-3</v>
      </c>
      <c r="J19" s="38">
        <f t="shared" si="4"/>
        <v>0.99295444007937073</v>
      </c>
      <c r="K19" s="29">
        <f t="shared" si="5"/>
        <v>604.64774457271199</v>
      </c>
      <c r="L19" s="25">
        <v>63765.291294511873</v>
      </c>
      <c r="M19" s="25">
        <v>2346808.9928953317</v>
      </c>
      <c r="N19" s="25">
        <v>68631868.397797227</v>
      </c>
      <c r="O19" s="27">
        <v>14.846734324912774</v>
      </c>
      <c r="P19" s="27">
        <v>379.33062719620983</v>
      </c>
      <c r="Q19" s="27">
        <v>4646.8300803465354</v>
      </c>
      <c r="R19" s="29">
        <v>440.45311830574565</v>
      </c>
      <c r="S19" s="29">
        <v>5226.8775802072187</v>
      </c>
      <c r="T19" s="29">
        <v>49268.055511481158</v>
      </c>
    </row>
    <row r="20" spans="1:20" x14ac:dyDescent="0.25">
      <c r="A20" s="24">
        <f t="shared" si="6"/>
        <v>16</v>
      </c>
      <c r="B20" s="12">
        <v>7.208915227838647E-3</v>
      </c>
      <c r="C20" s="12">
        <f t="shared" si="0"/>
        <v>0.99279108477216138</v>
      </c>
      <c r="D20" s="25">
        <f t="shared" si="7"/>
        <v>85194.657508077566</v>
      </c>
      <c r="E20" s="25">
        <f t="shared" si="1"/>
        <v>614.1610638404818</v>
      </c>
      <c r="F20" s="6">
        <v>2.4087481169941631E-4</v>
      </c>
      <c r="G20" s="37">
        <f t="shared" si="2"/>
        <v>0.99975912518830057</v>
      </c>
      <c r="H20" s="27">
        <f t="shared" si="3"/>
        <v>20.521247085054448</v>
      </c>
      <c r="I20" s="7">
        <v>6.9680404161392307E-3</v>
      </c>
      <c r="J20" s="38">
        <f t="shared" si="4"/>
        <v>0.99303195958386081</v>
      </c>
      <c r="K20" s="29">
        <f t="shared" si="5"/>
        <v>593.63981675542402</v>
      </c>
      <c r="L20" s="25">
        <v>62059.691612577059</v>
      </c>
      <c r="M20" s="25">
        <v>2283043.7016008198</v>
      </c>
      <c r="N20" s="25">
        <v>66285059.404901892</v>
      </c>
      <c r="O20" s="27">
        <v>14.655506403238572</v>
      </c>
      <c r="P20" s="27">
        <v>364.48389287129709</v>
      </c>
      <c r="Q20" s="27">
        <v>4267.4994531503253</v>
      </c>
      <c r="R20" s="29">
        <v>423.95533271526836</v>
      </c>
      <c r="S20" s="29">
        <v>4786.4244619014726</v>
      </c>
      <c r="T20" s="29">
        <v>44041.177931273938</v>
      </c>
    </row>
    <row r="21" spans="1:20" x14ac:dyDescent="0.25">
      <c r="A21" s="24">
        <f t="shared" si="6"/>
        <v>17</v>
      </c>
      <c r="B21" s="12">
        <v>6.9715078662010207E-3</v>
      </c>
      <c r="C21" s="12">
        <f t="shared" si="0"/>
        <v>0.99302849213379896</v>
      </c>
      <c r="D21" s="25">
        <f t="shared" si="7"/>
        <v>84580.496444237084</v>
      </c>
      <c r="E21" s="25">
        <f t="shared" si="1"/>
        <v>589.65359628818987</v>
      </c>
      <c r="F21" s="6">
        <v>2.6580001749224876E-4</v>
      </c>
      <c r="G21" s="37">
        <f t="shared" si="2"/>
        <v>0.99973419998250779</v>
      </c>
      <c r="H21" s="27">
        <f t="shared" si="3"/>
        <v>22.4814974343813</v>
      </c>
      <c r="I21" s="7">
        <v>6.7057078487087717E-3</v>
      </c>
      <c r="J21" s="38">
        <f t="shared" si="4"/>
        <v>0.99329429215129128</v>
      </c>
      <c r="K21" s="29">
        <f t="shared" si="5"/>
        <v>567.17209885380498</v>
      </c>
      <c r="L21" s="25">
        <v>60404.224075172722</v>
      </c>
      <c r="M21" s="25">
        <v>2220984.0099882437</v>
      </c>
      <c r="N21" s="25">
        <v>64002015.703301072</v>
      </c>
      <c r="O21" s="27">
        <v>15.740631191947667</v>
      </c>
      <c r="P21" s="27">
        <v>349.82838646805851</v>
      </c>
      <c r="Q21" s="27">
        <v>3903.0155602790278</v>
      </c>
      <c r="R21" s="29">
        <v>397.11086223142064</v>
      </c>
      <c r="S21" s="29">
        <v>4362.4691291862046</v>
      </c>
      <c r="T21" s="29">
        <v>39254.753469372466</v>
      </c>
    </row>
    <row r="22" spans="1:20" x14ac:dyDescent="0.25">
      <c r="A22" s="24">
        <f t="shared" si="6"/>
        <v>18</v>
      </c>
      <c r="B22" s="12">
        <v>6.7033303522789113E-3</v>
      </c>
      <c r="C22" s="12">
        <f t="shared" si="0"/>
        <v>0.99329666964772112</v>
      </c>
      <c r="D22" s="25">
        <f t="shared" si="7"/>
        <v>83990.842847948894</v>
      </c>
      <c r="E22" s="25">
        <f t="shared" si="1"/>
        <v>563.01836617614026</v>
      </c>
      <c r="F22" s="6">
        <v>2.8563601682421468E-4</v>
      </c>
      <c r="G22" s="37">
        <f t="shared" si="2"/>
        <v>0.99971436398317581</v>
      </c>
      <c r="H22" s="27">
        <f t="shared" si="3"/>
        <v>23.990809800796701</v>
      </c>
      <c r="I22" s="7">
        <v>6.4176943354546968E-3</v>
      </c>
      <c r="J22" s="38">
        <f t="shared" si="4"/>
        <v>0.99358230566454531</v>
      </c>
      <c r="K22" s="29">
        <f t="shared" si="5"/>
        <v>539.02755637534722</v>
      </c>
      <c r="L22" s="25">
        <v>58806.976031255763</v>
      </c>
      <c r="M22" s="25">
        <v>2160579.7859130711</v>
      </c>
      <c r="N22" s="25">
        <v>61781031.693312831</v>
      </c>
      <c r="O22" s="27">
        <v>16.468029799063686</v>
      </c>
      <c r="P22" s="27">
        <v>334.08775527611084</v>
      </c>
      <c r="Q22" s="27">
        <v>3553.1871738109694</v>
      </c>
      <c r="R22" s="29">
        <v>370.00509505981393</v>
      </c>
      <c r="S22" s="29">
        <v>3965.3582669547818</v>
      </c>
      <c r="T22" s="29">
        <v>34892.284340186263</v>
      </c>
    </row>
    <row r="23" spans="1:20" x14ac:dyDescent="0.25">
      <c r="A23" s="24">
        <f t="shared" si="6"/>
        <v>19</v>
      </c>
      <c r="B23" s="12">
        <v>6.4682170240914815E-3</v>
      </c>
      <c r="C23" s="12">
        <f t="shared" si="0"/>
        <v>0.9935317829759085</v>
      </c>
      <c r="D23" s="25">
        <f t="shared" si="7"/>
        <v>83427.824481772754</v>
      </c>
      <c r="E23" s="25">
        <f t="shared" si="1"/>
        <v>539.62927459592174</v>
      </c>
      <c r="F23" s="6">
        <v>3.2855342657708494E-4</v>
      </c>
      <c r="G23" s="37">
        <f t="shared" si="2"/>
        <v>0.99967144657342288</v>
      </c>
      <c r="H23" s="27">
        <f t="shared" si="3"/>
        <v>27.410497605358053</v>
      </c>
      <c r="I23" s="7">
        <v>6.1396635975143965E-3</v>
      </c>
      <c r="J23" s="38">
        <f t="shared" si="4"/>
        <v>0.99386033640248561</v>
      </c>
      <c r="K23" s="29">
        <f t="shared" si="5"/>
        <v>512.21877699056051</v>
      </c>
      <c r="L23" s="25">
        <v>57267.424944999715</v>
      </c>
      <c r="M23" s="25">
        <v>2101772.8098818148</v>
      </c>
      <c r="N23" s="25">
        <v>59620451.907399759</v>
      </c>
      <c r="O23" s="27">
        <v>18.446479114633025</v>
      </c>
      <c r="P23" s="27">
        <v>317.61972547704715</v>
      </c>
      <c r="Q23" s="27">
        <v>3219.0994185348586</v>
      </c>
      <c r="R23" s="29">
        <v>344.70855319431632</v>
      </c>
      <c r="S23" s="29">
        <v>3595.3531718949675</v>
      </c>
      <c r="T23" s="29">
        <v>30926.926073231483</v>
      </c>
    </row>
    <row r="24" spans="1:20" x14ac:dyDescent="0.25">
      <c r="A24" s="24">
        <f t="shared" si="6"/>
        <v>20</v>
      </c>
      <c r="B24" s="12">
        <v>5.9267022324993816E-3</v>
      </c>
      <c r="C24" s="12">
        <f t="shared" si="0"/>
        <v>0.99407329776750064</v>
      </c>
      <c r="D24" s="25">
        <f t="shared" si="7"/>
        <v>82888.195207176832</v>
      </c>
      <c r="E24" s="25">
        <f t="shared" si="1"/>
        <v>491.25365158221393</v>
      </c>
      <c r="F24" s="6">
        <v>3.0020655360585914E-4</v>
      </c>
      <c r="G24" s="37">
        <f t="shared" si="2"/>
        <v>0.99969979344639415</v>
      </c>
      <c r="H24" s="27">
        <f t="shared" si="3"/>
        <v>24.883579417756248</v>
      </c>
      <c r="I24" s="7">
        <v>5.6264956788935226E-3</v>
      </c>
      <c r="J24" s="38">
        <f t="shared" si="4"/>
        <v>0.99437350432110649</v>
      </c>
      <c r="K24" s="29">
        <f t="shared" si="5"/>
        <v>466.37007216446324</v>
      </c>
      <c r="L24" s="25">
        <v>55781.37922749469</v>
      </c>
      <c r="M24" s="25">
        <v>2044505.3849368154</v>
      </c>
      <c r="N24" s="25">
        <v>57518679.097517945</v>
      </c>
      <c r="O24" s="27">
        <v>16.417583934576118</v>
      </c>
      <c r="P24" s="27">
        <v>299.17324636241415</v>
      </c>
      <c r="Q24" s="27">
        <v>2901.4796930578113</v>
      </c>
      <c r="R24" s="29">
        <v>307.69969528060761</v>
      </c>
      <c r="S24" s="29">
        <v>3250.6446187006509</v>
      </c>
      <c r="T24" s="29">
        <v>27331.572901336516</v>
      </c>
    </row>
    <row r="25" spans="1:20" x14ac:dyDescent="0.25">
      <c r="A25" s="24">
        <f t="shared" si="6"/>
        <v>21</v>
      </c>
      <c r="B25" s="12">
        <v>5.9560786256830835E-3</v>
      </c>
      <c r="C25" s="12">
        <f t="shared" si="0"/>
        <v>0.99404392137431696</v>
      </c>
      <c r="D25" s="25">
        <f t="shared" si="7"/>
        <v>82396.941555594618</v>
      </c>
      <c r="E25" s="25">
        <f t="shared" si="1"/>
        <v>490.76266242093698</v>
      </c>
      <c r="F25" s="6">
        <v>3.8051129117792117E-4</v>
      </c>
      <c r="G25" s="37">
        <f t="shared" si="2"/>
        <v>0.99961948870882211</v>
      </c>
      <c r="H25" s="27">
        <f t="shared" si="3"/>
        <v>31.352966620431015</v>
      </c>
      <c r="I25" s="7">
        <v>5.5755673345051623E-3</v>
      </c>
      <c r="J25" s="38">
        <f t="shared" si="4"/>
        <v>0.99442443266549485</v>
      </c>
      <c r="K25" s="29">
        <f t="shared" si="5"/>
        <v>459.40969580050432</v>
      </c>
      <c r="L25" s="25">
        <v>54363.509414407068</v>
      </c>
      <c r="M25" s="25">
        <v>1988724.0057093205</v>
      </c>
      <c r="N25" s="25">
        <v>55474173.712581128</v>
      </c>
      <c r="O25" s="27">
        <v>20.28032270611677</v>
      </c>
      <c r="P25" s="27">
        <v>282.7556624278381</v>
      </c>
      <c r="Q25" s="27">
        <v>2602.306446695397</v>
      </c>
      <c r="R25" s="29">
        <v>297.16412478434501</v>
      </c>
      <c r="S25" s="29">
        <v>2942.9449234200433</v>
      </c>
      <c r="T25" s="29">
        <v>24080.928282635865</v>
      </c>
    </row>
    <row r="26" spans="1:20" x14ac:dyDescent="0.25">
      <c r="A26" s="24">
        <f t="shared" si="6"/>
        <v>22</v>
      </c>
      <c r="B26" s="12">
        <v>5.5018563325042675E-3</v>
      </c>
      <c r="C26" s="12">
        <f t="shared" si="0"/>
        <v>0.99449814366749578</v>
      </c>
      <c r="D26" s="25">
        <f t="shared" si="7"/>
        <v>81906.178893173681</v>
      </c>
      <c r="E26" s="25">
        <f t="shared" si="1"/>
        <v>450.63602901462582</v>
      </c>
      <c r="F26" s="6">
        <v>3.3743193723259011E-4</v>
      </c>
      <c r="G26" s="37">
        <f t="shared" si="2"/>
        <v>0.99966256806276743</v>
      </c>
      <c r="H26" s="27">
        <f t="shared" si="3"/>
        <v>27.63776061524268</v>
      </c>
      <c r="I26" s="7">
        <v>5.1644243952716773E-3</v>
      </c>
      <c r="J26" s="38">
        <f t="shared" si="4"/>
        <v>0.99483557560472835</v>
      </c>
      <c r="K26" s="29">
        <f t="shared" si="5"/>
        <v>422.99826839939232</v>
      </c>
      <c r="L26" s="25">
        <v>52980.11380192823</v>
      </c>
      <c r="M26" s="25">
        <v>1934360.4962949131</v>
      </c>
      <c r="N26" s="25">
        <v>53485449.706871808</v>
      </c>
      <c r="O26" s="27">
        <v>17.526649446066397</v>
      </c>
      <c r="P26" s="27">
        <v>262.4753397217213</v>
      </c>
      <c r="Q26" s="27">
        <v>2319.5507842675588</v>
      </c>
      <c r="R26" s="29">
        <v>268.24685508132137</v>
      </c>
      <c r="S26" s="29">
        <v>2645.7807986356979</v>
      </c>
      <c r="T26" s="29">
        <v>21137.983359215821</v>
      </c>
    </row>
    <row r="27" spans="1:20" x14ac:dyDescent="0.25">
      <c r="A27" s="24">
        <f t="shared" si="6"/>
        <v>23</v>
      </c>
      <c r="B27" s="12">
        <v>5.348403219212948E-3</v>
      </c>
      <c r="C27" s="12">
        <f t="shared" si="0"/>
        <v>0.99465159678078707</v>
      </c>
      <c r="D27" s="25">
        <f t="shared" si="7"/>
        <v>81455.542864159055</v>
      </c>
      <c r="E27" s="25">
        <f t="shared" si="1"/>
        <v>435.6570876774058</v>
      </c>
      <c r="F27" s="6">
        <v>3.8688647191820132E-4</v>
      </c>
      <c r="G27" s="37">
        <f t="shared" si="2"/>
        <v>0.9996131135280818</v>
      </c>
      <c r="H27" s="27">
        <f t="shared" si="3"/>
        <v>31.514047596896315</v>
      </c>
      <c r="I27" s="7">
        <v>4.9615167472947469E-3</v>
      </c>
      <c r="J27" s="38">
        <f t="shared" si="4"/>
        <v>0.99503848325270527</v>
      </c>
      <c r="K27" s="29">
        <f t="shared" si="5"/>
        <v>404.14304008051027</v>
      </c>
      <c r="L27" s="25">
        <v>51655.514536578718</v>
      </c>
      <c r="M27" s="25">
        <v>1881380.3824929853</v>
      </c>
      <c r="N27" s="25">
        <v>51551089.210576892</v>
      </c>
      <c r="O27" s="27">
        <v>19.592960562917945</v>
      </c>
      <c r="P27" s="27">
        <v>244.94869027565505</v>
      </c>
      <c r="Q27" s="27">
        <v>2057.0754445458374</v>
      </c>
      <c r="R27" s="29">
        <v>251.26441221898293</v>
      </c>
      <c r="S27" s="29">
        <v>2377.5339435543765</v>
      </c>
      <c r="T27" s="29">
        <v>18492.202560580125</v>
      </c>
    </row>
    <row r="28" spans="1:20" x14ac:dyDescent="0.25">
      <c r="A28" s="24">
        <f t="shared" si="6"/>
        <v>24</v>
      </c>
      <c r="B28" s="12">
        <v>5.236091691400659E-3</v>
      </c>
      <c r="C28" s="12">
        <f t="shared" si="0"/>
        <v>0.99476390830859929</v>
      </c>
      <c r="D28" s="25">
        <f t="shared" si="7"/>
        <v>81019.885776481649</v>
      </c>
      <c r="E28" s="25">
        <f t="shared" si="1"/>
        <v>424.22755075247551</v>
      </c>
      <c r="F28" s="6">
        <v>3.9910175046285181E-4</v>
      </c>
      <c r="G28" s="37">
        <f t="shared" si="2"/>
        <v>0.99960089824953713</v>
      </c>
      <c r="H28" s="27">
        <f t="shared" si="3"/>
        <v>32.335178235694137</v>
      </c>
      <c r="I28" s="7">
        <v>4.8369899409378076E-3</v>
      </c>
      <c r="J28" s="38">
        <f t="shared" si="4"/>
        <v>0.99516301005906216</v>
      </c>
      <c r="K28" s="29">
        <f t="shared" si="5"/>
        <v>391.8923725167719</v>
      </c>
      <c r="L28" s="25">
        <v>50371.803937589393</v>
      </c>
      <c r="M28" s="25">
        <v>1829724.8679564067</v>
      </c>
      <c r="N28" s="25">
        <v>49669708.82808391</v>
      </c>
      <c r="O28" s="27">
        <v>19.709289338689704</v>
      </c>
      <c r="P28" s="27">
        <v>225.35572971273706</v>
      </c>
      <c r="Q28" s="27">
        <v>1812.1267542701823</v>
      </c>
      <c r="R28" s="29">
        <v>238.87049897354055</v>
      </c>
      <c r="S28" s="29">
        <v>2126.2695313353938</v>
      </c>
      <c r="T28" s="29">
        <v>16114.668617025747</v>
      </c>
    </row>
    <row r="29" spans="1:20" x14ac:dyDescent="0.25">
      <c r="A29" s="24">
        <f t="shared" si="6"/>
        <v>25</v>
      </c>
      <c r="B29" s="12">
        <v>4.9308486576317891E-3</v>
      </c>
      <c r="C29" s="12">
        <f t="shared" si="0"/>
        <v>0.99506915134236817</v>
      </c>
      <c r="D29" s="25">
        <f t="shared" si="7"/>
        <v>80595.658225729174</v>
      </c>
      <c r="E29" s="25">
        <f t="shared" si="1"/>
        <v>397.40499317328795</v>
      </c>
      <c r="F29" s="6">
        <v>4.2890077144484791E-4</v>
      </c>
      <c r="G29" s="37">
        <f t="shared" si="2"/>
        <v>0.99957109922855514</v>
      </c>
      <c r="H29" s="27">
        <f t="shared" si="3"/>
        <v>34.567539988120544</v>
      </c>
      <c r="I29" s="7">
        <v>4.5019478861869416E-3</v>
      </c>
      <c r="J29" s="38">
        <f t="shared" si="4"/>
        <v>0.99549805211381304</v>
      </c>
      <c r="K29" s="29">
        <f t="shared" si="5"/>
        <v>362.83745318516662</v>
      </c>
      <c r="L29" s="25">
        <v>49125.541719128349</v>
      </c>
      <c r="M29" s="25">
        <v>1779353.0640188169</v>
      </c>
      <c r="N29" s="25">
        <v>47839983.960127503</v>
      </c>
      <c r="O29" s="27">
        <v>20.6568458244904</v>
      </c>
      <c r="P29" s="27">
        <v>205.64644037404736</v>
      </c>
      <c r="Q29" s="27">
        <v>1586.7710245574453</v>
      </c>
      <c r="R29" s="29">
        <v>216.8241457845277</v>
      </c>
      <c r="S29" s="29">
        <v>1887.399032361855</v>
      </c>
      <c r="T29" s="29">
        <v>13988.399085690353</v>
      </c>
    </row>
    <row r="30" spans="1:20" x14ac:dyDescent="0.25">
      <c r="A30" s="24">
        <f t="shared" si="6"/>
        <v>26</v>
      </c>
      <c r="B30" s="12">
        <v>4.7927948708772986E-3</v>
      </c>
      <c r="C30" s="12">
        <f t="shared" si="0"/>
        <v>0.99520720512912275</v>
      </c>
      <c r="D30" s="25">
        <f t="shared" si="7"/>
        <v>80198.253232555886</v>
      </c>
      <c r="E30" s="25">
        <f t="shared" si="1"/>
        <v>384.37377674630261</v>
      </c>
      <c r="F30" s="6">
        <v>3.9401268045747857E-4</v>
      </c>
      <c r="G30" s="37">
        <f t="shared" si="2"/>
        <v>0.99960598731954253</v>
      </c>
      <c r="H30" s="27">
        <f t="shared" si="3"/>
        <v>31.599128724166988</v>
      </c>
      <c r="I30" s="7">
        <v>4.3987821904198201E-3</v>
      </c>
      <c r="J30" s="38">
        <f t="shared" si="4"/>
        <v>0.99560121780958022</v>
      </c>
      <c r="K30" s="29">
        <f t="shared" si="5"/>
        <v>352.77464802214558</v>
      </c>
      <c r="L30" s="25">
        <v>47924.814811457989</v>
      </c>
      <c r="M30" s="25">
        <v>1730227.5222996885</v>
      </c>
      <c r="N30" s="25">
        <v>46060630.896108687</v>
      </c>
      <c r="O30" s="27">
        <v>18.512730141461599</v>
      </c>
      <c r="P30" s="27">
        <v>184.98959454955695</v>
      </c>
      <c r="Q30" s="27">
        <v>1381.1245841833979</v>
      </c>
      <c r="R30" s="29">
        <v>206.67727634491118</v>
      </c>
      <c r="S30" s="29">
        <v>1670.5748865773273</v>
      </c>
      <c r="T30" s="29">
        <v>12101.000053328498</v>
      </c>
    </row>
    <row r="31" spans="1:20" x14ac:dyDescent="0.25">
      <c r="A31" s="24">
        <f t="shared" si="6"/>
        <v>27</v>
      </c>
      <c r="B31" s="12">
        <v>4.4628470812668993E-3</v>
      </c>
      <c r="C31" s="12">
        <f t="shared" si="0"/>
        <v>0.99553715291873313</v>
      </c>
      <c r="D31" s="25">
        <f t="shared" si="7"/>
        <v>79813.879455809583</v>
      </c>
      <c r="E31" s="25">
        <f t="shared" si="1"/>
        <v>356.19713897394831</v>
      </c>
      <c r="F31" s="6">
        <v>3.9115360891711263E-4</v>
      </c>
      <c r="G31" s="37">
        <f t="shared" si="2"/>
        <v>0.99960884639108294</v>
      </c>
      <c r="H31" s="27">
        <f t="shared" si="3"/>
        <v>31.219486990815312</v>
      </c>
      <c r="I31" s="7">
        <v>4.0716934723497864E-3</v>
      </c>
      <c r="J31" s="38">
        <f t="shared" si="4"/>
        <v>0.99592830652765019</v>
      </c>
      <c r="K31" s="29">
        <f t="shared" si="5"/>
        <v>324.9776519831326</v>
      </c>
      <c r="L31" s="25">
        <v>46759.922553766562</v>
      </c>
      <c r="M31" s="25">
        <v>1682302.7074882307</v>
      </c>
      <c r="N31" s="25">
        <v>44330403.373808995</v>
      </c>
      <c r="O31" s="27">
        <v>17.931678881951452</v>
      </c>
      <c r="P31" s="27">
        <v>166.47686440809537</v>
      </c>
      <c r="Q31" s="27">
        <v>1196.1349896338411</v>
      </c>
      <c r="R31" s="29">
        <v>186.65889355858124</v>
      </c>
      <c r="S31" s="29">
        <v>1463.8976102324161</v>
      </c>
      <c r="T31" s="29">
        <v>10430.425166751171</v>
      </c>
    </row>
    <row r="32" spans="1:20" x14ac:dyDescent="0.25">
      <c r="A32" s="24">
        <f t="shared" si="6"/>
        <v>28</v>
      </c>
      <c r="B32" s="12">
        <v>4.0540931417598278E-3</v>
      </c>
      <c r="C32" s="12">
        <f t="shared" si="0"/>
        <v>0.99594590685824014</v>
      </c>
      <c r="D32" s="25">
        <f t="shared" si="7"/>
        <v>79457.682316835635</v>
      </c>
      <c r="E32" s="25">
        <f t="shared" si="1"/>
        <v>322.12884494081663</v>
      </c>
      <c r="F32" s="6">
        <v>4.0987790790882332E-4</v>
      </c>
      <c r="G32" s="37">
        <f t="shared" si="2"/>
        <v>0.99959012209209119</v>
      </c>
      <c r="H32" s="27">
        <f t="shared" si="3"/>
        <v>32.567948595308494</v>
      </c>
      <c r="I32" s="7">
        <v>3.6442152338510047E-3</v>
      </c>
      <c r="J32" s="38">
        <f t="shared" si="4"/>
        <v>0.99635578476614894</v>
      </c>
      <c r="K32" s="29">
        <f t="shared" si="5"/>
        <v>289.56089634550602</v>
      </c>
      <c r="L32" s="25">
        <v>45638.470754781585</v>
      </c>
      <c r="M32" s="25">
        <v>1635542.7849344637</v>
      </c>
      <c r="N32" s="25">
        <v>42648100.666320764</v>
      </c>
      <c r="O32" s="27">
        <v>18.339412659929305</v>
      </c>
      <c r="P32" s="27">
        <v>148.54518552614388</v>
      </c>
      <c r="Q32" s="27">
        <v>1029.6581252257456</v>
      </c>
      <c r="R32" s="29">
        <v>163.05530428846922</v>
      </c>
      <c r="S32" s="29">
        <v>1277.2387166738354</v>
      </c>
      <c r="T32" s="29">
        <v>8966.5275565187549</v>
      </c>
    </row>
    <row r="33" spans="1:20" x14ac:dyDescent="0.25">
      <c r="A33" s="24">
        <f t="shared" si="6"/>
        <v>29</v>
      </c>
      <c r="B33" s="12">
        <v>3.7372560299889263E-3</v>
      </c>
      <c r="C33" s="12">
        <f t="shared" si="0"/>
        <v>0.99626274397001102</v>
      </c>
      <c r="D33" s="25">
        <f t="shared" si="7"/>
        <v>79135.553471894818</v>
      </c>
      <c r="E33" s="25">
        <f t="shared" si="1"/>
        <v>295.74982439934683</v>
      </c>
      <c r="F33" s="6">
        <v>3.8852661697904683E-4</v>
      </c>
      <c r="G33" s="37">
        <f t="shared" si="2"/>
        <v>0.99961147338302092</v>
      </c>
      <c r="H33" s="27">
        <f t="shared" si="3"/>
        <v>30.746268873199757</v>
      </c>
      <c r="I33" s="7">
        <v>3.3487294130098793E-3</v>
      </c>
      <c r="J33" s="38">
        <f t="shared" si="4"/>
        <v>0.9966512705869901</v>
      </c>
      <c r="K33" s="29">
        <f t="shared" si="5"/>
        <v>265.00355552615025</v>
      </c>
      <c r="L33" s="25">
        <v>44562.204062249228</v>
      </c>
      <c r="M33" s="25">
        <v>1589904.3141796824</v>
      </c>
      <c r="N33" s="25">
        <v>41012557.881386302</v>
      </c>
      <c r="O33" s="27">
        <v>16.974119989642777</v>
      </c>
      <c r="P33" s="27">
        <v>130.20577286621457</v>
      </c>
      <c r="Q33" s="27">
        <v>881.11293969960172</v>
      </c>
      <c r="R33" s="29">
        <v>146.30074848215915</v>
      </c>
      <c r="S33" s="29">
        <v>1114.1834123853657</v>
      </c>
      <c r="T33" s="29">
        <v>7689.2888398449204</v>
      </c>
    </row>
    <row r="34" spans="1:20" x14ac:dyDescent="0.25">
      <c r="A34" s="24">
        <f t="shared" si="6"/>
        <v>30</v>
      </c>
      <c r="B34" s="12">
        <v>3.3907237746624765E-3</v>
      </c>
      <c r="C34" s="12">
        <f t="shared" si="0"/>
        <v>0.99660927622533757</v>
      </c>
      <c r="D34" s="25">
        <f t="shared" si="7"/>
        <v>78839.803647495472</v>
      </c>
      <c r="E34" s="25">
        <f t="shared" si="1"/>
        <v>267.32399661728414</v>
      </c>
      <c r="F34" s="6">
        <v>3.6714843419912162E-4</v>
      </c>
      <c r="G34" s="37">
        <f t="shared" si="2"/>
        <v>0.99963285156580084</v>
      </c>
      <c r="H34" s="27">
        <f t="shared" si="3"/>
        <v>28.945910461744159</v>
      </c>
      <c r="I34" s="7">
        <v>3.0235753404633547E-3</v>
      </c>
      <c r="J34" s="38">
        <f t="shared" si="4"/>
        <v>0.99697642465953662</v>
      </c>
      <c r="K34" s="29">
        <f t="shared" si="5"/>
        <v>238.37808615554016</v>
      </c>
      <c r="L34" s="25">
        <v>43525.160486674504</v>
      </c>
      <c r="M34" s="25">
        <v>1545342.1101174334</v>
      </c>
      <c r="N34" s="25">
        <v>39422653.567206621</v>
      </c>
      <c r="O34" s="27">
        <v>15.666857373478452</v>
      </c>
      <c r="P34" s="27">
        <v>113.23165287657177</v>
      </c>
      <c r="Q34" s="27">
        <v>750.90716683338712</v>
      </c>
      <c r="R34" s="29">
        <v>129.02117836982256</v>
      </c>
      <c r="S34" s="29">
        <v>967.88266390320643</v>
      </c>
      <c r="T34" s="29">
        <v>6575.1054274595544</v>
      </c>
    </row>
    <row r="35" spans="1:20" x14ac:dyDescent="0.25">
      <c r="A35" s="24">
        <f t="shared" si="6"/>
        <v>31</v>
      </c>
      <c r="B35" s="12">
        <v>3.0760984386664328E-3</v>
      </c>
      <c r="C35" s="12">
        <f t="shared" si="0"/>
        <v>0.99692390156133359</v>
      </c>
      <c r="D35" s="25">
        <f t="shared" si="7"/>
        <v>78572.479650878187</v>
      </c>
      <c r="E35" s="25">
        <f t="shared" si="1"/>
        <v>241.6966819762165</v>
      </c>
      <c r="F35" s="6">
        <v>3.1640751627025527E-4</v>
      </c>
      <c r="G35" s="37">
        <f t="shared" si="2"/>
        <v>0.99968359248372973</v>
      </c>
      <c r="H35" s="27">
        <f t="shared" si="3"/>
        <v>24.860923133529543</v>
      </c>
      <c r="I35" s="7">
        <v>2.7596909223961776E-3</v>
      </c>
      <c r="J35" s="38">
        <f t="shared" si="4"/>
        <v>0.99724030907760386</v>
      </c>
      <c r="K35" s="29">
        <f t="shared" si="5"/>
        <v>216.83575884268691</v>
      </c>
      <c r="L35" s="25">
        <v>42527.037931584644</v>
      </c>
      <c r="M35" s="25">
        <v>1501816.9496307585</v>
      </c>
      <c r="N35" s="25">
        <v>37877311.457089186</v>
      </c>
      <c r="O35" s="27">
        <v>13.192033770846699</v>
      </c>
      <c r="P35" s="27">
        <v>97.564795503093322</v>
      </c>
      <c r="Q35" s="27">
        <v>637.67551395681539</v>
      </c>
      <c r="R35" s="29">
        <v>115.06027503548241</v>
      </c>
      <c r="S35" s="29">
        <v>838.86148553338387</v>
      </c>
      <c r="T35" s="29">
        <v>5607.2227635563477</v>
      </c>
    </row>
    <row r="36" spans="1:20" x14ac:dyDescent="0.25">
      <c r="A36" s="24">
        <f t="shared" si="6"/>
        <v>32</v>
      </c>
      <c r="B36" s="12">
        <v>2.8488945440335099E-3</v>
      </c>
      <c r="C36" s="12">
        <f t="shared" si="0"/>
        <v>0.99715110545596652</v>
      </c>
      <c r="D36" s="25">
        <f t="shared" si="7"/>
        <v>78330.782968901971</v>
      </c>
      <c r="E36" s="25">
        <f t="shared" si="1"/>
        <v>223.15614022997033</v>
      </c>
      <c r="F36" s="6">
        <v>2.8720562882939449E-4</v>
      </c>
      <c r="G36" s="37">
        <f t="shared" si="2"/>
        <v>0.99971279437117055</v>
      </c>
      <c r="H36" s="27">
        <f t="shared" si="3"/>
        <v>22.497041779282316</v>
      </c>
      <c r="I36" s="7">
        <v>2.5616889152041155E-3</v>
      </c>
      <c r="J36" s="38">
        <f t="shared" si="4"/>
        <v>0.99743831108479586</v>
      </c>
      <c r="K36" s="29">
        <f t="shared" si="5"/>
        <v>200.6590984506955</v>
      </c>
      <c r="L36" s="25">
        <v>41564.922133923712</v>
      </c>
      <c r="M36" s="25">
        <v>1459289.9116991737</v>
      </c>
      <c r="N36" s="25">
        <v>36375494.507458426</v>
      </c>
      <c r="O36" s="27">
        <v>11.703607449723901</v>
      </c>
      <c r="P36" s="27">
        <v>84.37276173224663</v>
      </c>
      <c r="Q36" s="27">
        <v>540.11071845372203</v>
      </c>
      <c r="R36" s="29">
        <v>104.3886277370535</v>
      </c>
      <c r="S36" s="29">
        <v>723.80121049790148</v>
      </c>
      <c r="T36" s="29">
        <v>4768.3612780229641</v>
      </c>
    </row>
    <row r="37" spans="1:20" x14ac:dyDescent="0.25">
      <c r="A37" s="24">
        <f t="shared" si="6"/>
        <v>33</v>
      </c>
      <c r="B37" s="12">
        <v>2.4486191815161328E-3</v>
      </c>
      <c r="C37" s="12">
        <f t="shared" si="0"/>
        <v>0.99755138081848382</v>
      </c>
      <c r="D37" s="25">
        <f t="shared" si="7"/>
        <v>78107.626828672001</v>
      </c>
      <c r="E37" s="25">
        <f t="shared" si="1"/>
        <v>191.25583327539789</v>
      </c>
      <c r="F37" s="6">
        <v>2.703522755617181E-4</v>
      </c>
      <c r="G37" s="37">
        <f t="shared" si="2"/>
        <v>0.99972964772443829</v>
      </c>
      <c r="H37" s="27">
        <f t="shared" si="3"/>
        <v>21.116574651856979</v>
      </c>
      <c r="I37" s="7">
        <v>2.1782669059544147E-3</v>
      </c>
      <c r="J37" s="38">
        <f t="shared" si="4"/>
        <v>0.99782173309404554</v>
      </c>
      <c r="K37" s="29">
        <f t="shared" si="5"/>
        <v>170.13925862353338</v>
      </c>
      <c r="L37" s="25">
        <v>40633.831425522745</v>
      </c>
      <c r="M37" s="25">
        <v>1417724.9895652502</v>
      </c>
      <c r="N37" s="25">
        <v>34916204.59575925</v>
      </c>
      <c r="O37" s="27">
        <v>10.770047834001302</v>
      </c>
      <c r="P37" s="27">
        <v>72.66915428252274</v>
      </c>
      <c r="Q37" s="27">
        <v>455.73795672147537</v>
      </c>
      <c r="R37" s="29">
        <v>86.775813976810497</v>
      </c>
      <c r="S37" s="29">
        <v>619.41258276084784</v>
      </c>
      <c r="T37" s="29">
        <v>4044.5600675250625</v>
      </c>
    </row>
    <row r="38" spans="1:20" x14ac:dyDescent="0.25">
      <c r="A38" s="24">
        <f t="shared" si="6"/>
        <v>34</v>
      </c>
      <c r="B38" s="12">
        <v>2.0787978371027806E-3</v>
      </c>
      <c r="C38" s="12">
        <f t="shared" si="0"/>
        <v>0.99792120216289726</v>
      </c>
      <c r="D38" s="25">
        <f t="shared" si="7"/>
        <v>77916.370995396603</v>
      </c>
      <c r="E38" s="25">
        <f t="shared" si="1"/>
        <v>161.97238350012049</v>
      </c>
      <c r="F38" s="6">
        <v>2.0556142181016342E-4</v>
      </c>
      <c r="G38" s="37">
        <f t="shared" si="2"/>
        <v>0.99979443857818984</v>
      </c>
      <c r="H38" s="27">
        <f t="shared" si="3"/>
        <v>16.016600004101903</v>
      </c>
      <c r="I38" s="7">
        <v>1.873236415292617E-3</v>
      </c>
      <c r="J38" s="38">
        <f t="shared" si="4"/>
        <v>0.99812676358470742</v>
      </c>
      <c r="K38" s="29">
        <f t="shared" si="5"/>
        <v>145.95578349602638</v>
      </c>
      <c r="L38" s="25">
        <v>39739.543771054625</v>
      </c>
      <c r="M38" s="25">
        <v>1377091.1581397273</v>
      </c>
      <c r="N38" s="25">
        <v>33498479.606194001</v>
      </c>
      <c r="O38" s="27">
        <v>8.0087422741815804</v>
      </c>
      <c r="P38" s="27">
        <v>61.899106448521394</v>
      </c>
      <c r="Q38" s="27">
        <v>383.06880243895262</v>
      </c>
      <c r="R38" s="29">
        <v>72.981922077504336</v>
      </c>
      <c r="S38" s="29">
        <v>532.63676878403737</v>
      </c>
      <c r="T38" s="29">
        <v>3425.1474847642148</v>
      </c>
    </row>
    <row r="39" spans="1:20" x14ac:dyDescent="0.25">
      <c r="A39" s="24">
        <f t="shared" si="6"/>
        <v>35</v>
      </c>
      <c r="B39" s="12">
        <v>1.7085280704804665E-3</v>
      </c>
      <c r="C39" s="12">
        <f t="shared" si="0"/>
        <v>0.9982914719295195</v>
      </c>
      <c r="D39" s="25">
        <f t="shared" si="7"/>
        <v>77754.398611896482</v>
      </c>
      <c r="E39" s="25">
        <f t="shared" si="1"/>
        <v>132.84557263174793</v>
      </c>
      <c r="F39" s="6">
        <v>1.7317207592200203E-4</v>
      </c>
      <c r="G39" s="37">
        <f t="shared" si="2"/>
        <v>0.99982682792407795</v>
      </c>
      <c r="H39" s="27">
        <f t="shared" si="3"/>
        <v>13.464890619688948</v>
      </c>
      <c r="I39" s="7">
        <v>1.5353559945584644E-3</v>
      </c>
      <c r="J39" s="38">
        <f t="shared" si="4"/>
        <v>0.99846464400544155</v>
      </c>
      <c r="K39" s="29">
        <f t="shared" si="5"/>
        <v>119.3806820120636</v>
      </c>
      <c r="L39" s="25">
        <v>38879.346366094025</v>
      </c>
      <c r="M39" s="25">
        <v>1337351.6143686727</v>
      </c>
      <c r="N39" s="25">
        <v>32121388.448054273</v>
      </c>
      <c r="O39" s="27">
        <v>6.6008010987324015</v>
      </c>
      <c r="P39" s="27">
        <v>53.890364174339823</v>
      </c>
      <c r="Q39" s="27">
        <v>321.16969599043119</v>
      </c>
      <c r="R39" s="29">
        <v>58.523174027154226</v>
      </c>
      <c r="S39" s="29">
        <v>459.65484670653314</v>
      </c>
      <c r="T39" s="29">
        <v>2892.5107159801773</v>
      </c>
    </row>
    <row r="40" spans="1:20" x14ac:dyDescent="0.25">
      <c r="A40" s="24">
        <f t="shared" si="6"/>
        <v>36</v>
      </c>
      <c r="B40" s="12">
        <v>1.6671047219949085E-3</v>
      </c>
      <c r="C40" s="12">
        <f t="shared" si="0"/>
        <v>0.99833289527800506</v>
      </c>
      <c r="D40" s="25">
        <f t="shared" si="7"/>
        <v>77621.553039264734</v>
      </c>
      <c r="E40" s="25">
        <f t="shared" si="1"/>
        <v>129.40325760033738</v>
      </c>
      <c r="F40" s="6">
        <v>1.8403104073969769E-4</v>
      </c>
      <c r="G40" s="37">
        <f t="shared" si="2"/>
        <v>0.99981596895926028</v>
      </c>
      <c r="H40" s="27">
        <f t="shared" si="3"/>
        <v>14.284775189647533</v>
      </c>
      <c r="I40" s="7">
        <v>1.4830736812552108E-3</v>
      </c>
      <c r="J40" s="38">
        <f t="shared" si="4"/>
        <v>0.99851692631874478</v>
      </c>
      <c r="K40" s="29">
        <f t="shared" si="5"/>
        <v>115.11848241068894</v>
      </c>
      <c r="L40" s="25">
        <v>38051.882266142769</v>
      </c>
      <c r="M40" s="25">
        <v>1298472.2680025783</v>
      </c>
      <c r="N40" s="25">
        <v>30784036.833685599</v>
      </c>
      <c r="O40" s="27">
        <v>6.8654191132771558</v>
      </c>
      <c r="P40" s="27">
        <v>47.289563075607411</v>
      </c>
      <c r="Q40" s="27">
        <v>267.27933181609137</v>
      </c>
      <c r="R40" s="29">
        <v>55.327201089351199</v>
      </c>
      <c r="S40" s="29">
        <v>401.13167267937894</v>
      </c>
      <c r="T40" s="29">
        <v>2432.8558692736442</v>
      </c>
    </row>
    <row r="41" spans="1:20" x14ac:dyDescent="0.25">
      <c r="A41" s="24">
        <f t="shared" si="6"/>
        <v>37</v>
      </c>
      <c r="B41" s="12">
        <v>1.5654050731058061E-3</v>
      </c>
      <c r="C41" s="12">
        <f t="shared" si="0"/>
        <v>0.99843459492689424</v>
      </c>
      <c r="D41" s="25">
        <f t="shared" si="7"/>
        <v>77492.149781664397</v>
      </c>
      <c r="E41" s="25">
        <f t="shared" si="1"/>
        <v>121.30660439409257</v>
      </c>
      <c r="F41" s="6">
        <v>1.6705903942235877E-4</v>
      </c>
      <c r="G41" s="37">
        <f t="shared" si="2"/>
        <v>0.99983294096057762</v>
      </c>
      <c r="H41" s="27">
        <f t="shared" si="3"/>
        <v>12.945764105298403</v>
      </c>
      <c r="I41" s="7">
        <v>1.3983460336834473E-3</v>
      </c>
      <c r="J41" s="38">
        <f t="shared" si="4"/>
        <v>0.9986016539663165</v>
      </c>
      <c r="K41" s="29">
        <f t="shared" si="5"/>
        <v>108.36084028879402</v>
      </c>
      <c r="L41" s="25">
        <v>37243.574307388313</v>
      </c>
      <c r="M41" s="25">
        <v>1260420.3857364359</v>
      </c>
      <c r="N41" s="25">
        <v>29485564.565683022</v>
      </c>
      <c r="O41" s="27">
        <v>6.0998781847524848</v>
      </c>
      <c r="P41" s="27">
        <v>40.424143962330255</v>
      </c>
      <c r="Q41" s="27">
        <v>219.98976874048398</v>
      </c>
      <c r="R41" s="29">
        <v>51.058239620520787</v>
      </c>
      <c r="S41" s="29">
        <v>345.80447159002767</v>
      </c>
      <c r="T41" s="29">
        <v>2031.7241965942653</v>
      </c>
    </row>
    <row r="42" spans="1:20" x14ac:dyDescent="0.25">
      <c r="A42" s="24">
        <f t="shared" si="6"/>
        <v>38</v>
      </c>
      <c r="B42" s="12">
        <v>1.4327112347037783E-3</v>
      </c>
      <c r="C42" s="12">
        <f t="shared" si="0"/>
        <v>0.99856728876529621</v>
      </c>
      <c r="D42" s="25">
        <f t="shared" si="7"/>
        <v>77370.843177270304</v>
      </c>
      <c r="E42" s="25">
        <f t="shared" si="1"/>
        <v>110.85007625857543</v>
      </c>
      <c r="F42" s="6">
        <v>1.5472043571315098E-4</v>
      </c>
      <c r="G42" s="37">
        <f t="shared" si="2"/>
        <v>0.99984527956428682</v>
      </c>
      <c r="H42" s="27">
        <f t="shared" si="3"/>
        <v>11.970850567881136</v>
      </c>
      <c r="I42" s="7">
        <v>1.2779907989906272E-3</v>
      </c>
      <c r="J42" s="38">
        <f t="shared" si="4"/>
        <v>0.9987220092010094</v>
      </c>
      <c r="K42" s="29">
        <f t="shared" si="5"/>
        <v>98.879225690698192</v>
      </c>
      <c r="L42" s="25">
        <v>36456.150026693082</v>
      </c>
      <c r="M42" s="25">
        <v>1223176.8114290473</v>
      </c>
      <c r="N42" s="25">
        <v>28225144.179946586</v>
      </c>
      <c r="O42" s="27">
        <v>5.5299131534842685</v>
      </c>
      <c r="P42" s="27">
        <v>34.324265777577764</v>
      </c>
      <c r="Q42" s="27">
        <v>179.56562477815373</v>
      </c>
      <c r="R42" s="29">
        <v>45.677082647780061</v>
      </c>
      <c r="S42" s="29">
        <v>294.74623196950682</v>
      </c>
      <c r="T42" s="29">
        <v>1685.9197250042375</v>
      </c>
    </row>
    <row r="43" spans="1:20" x14ac:dyDescent="0.25">
      <c r="A43" s="24">
        <f t="shared" si="6"/>
        <v>39</v>
      </c>
      <c r="B43" s="12">
        <v>1.2736477469590805E-3</v>
      </c>
      <c r="C43" s="12">
        <f t="shared" si="0"/>
        <v>0.99872635225304096</v>
      </c>
      <c r="D43" s="25">
        <f t="shared" si="7"/>
        <v>77259.993101011729</v>
      </c>
      <c r="E43" s="25">
        <f t="shared" si="1"/>
        <v>98.402016143169021</v>
      </c>
      <c r="F43" s="6">
        <v>1.2844807168603122E-4</v>
      </c>
      <c r="G43" s="37">
        <f t="shared" si="2"/>
        <v>0.99987155192831401</v>
      </c>
      <c r="H43" s="27">
        <f t="shared" si="3"/>
        <v>9.9238971323010325</v>
      </c>
      <c r="I43" s="7">
        <v>1.1451996752730492E-3</v>
      </c>
      <c r="J43" s="38">
        <f t="shared" si="4"/>
        <v>0.99885480032472695</v>
      </c>
      <c r="K43" s="29">
        <f t="shared" si="5"/>
        <v>88.478119010876654</v>
      </c>
      <c r="L43" s="25">
        <v>35690.116559780188</v>
      </c>
      <c r="M43" s="25">
        <v>1186720.6614023538</v>
      </c>
      <c r="N43" s="25">
        <v>27001967.36851754</v>
      </c>
      <c r="O43" s="27">
        <v>4.4944378925033881</v>
      </c>
      <c r="P43" s="27">
        <v>28.794352624093502</v>
      </c>
      <c r="Q43" s="27">
        <v>145.24135900057598</v>
      </c>
      <c r="R43" s="29">
        <v>40.070892053644656</v>
      </c>
      <c r="S43" s="29">
        <v>249.06914932172677</v>
      </c>
      <c r="T43" s="29">
        <v>1391.1734930347307</v>
      </c>
    </row>
    <row r="44" spans="1:20" x14ac:dyDescent="0.25">
      <c r="A44" s="24">
        <f t="shared" si="6"/>
        <v>40</v>
      </c>
      <c r="B44" s="12">
        <v>1.0974628726392302E-3</v>
      </c>
      <c r="C44" s="12">
        <f t="shared" si="0"/>
        <v>0.99890253712736077</v>
      </c>
      <c r="D44" s="25">
        <f t="shared" si="7"/>
        <v>77161.59108486856</v>
      </c>
      <c r="E44" s="25">
        <f t="shared" si="1"/>
        <v>84.681981409419677</v>
      </c>
      <c r="F44" s="6">
        <v>1.4395493251826295E-4</v>
      </c>
      <c r="G44" s="37">
        <f t="shared" si="2"/>
        <v>0.99985604506748171</v>
      </c>
      <c r="H44" s="27">
        <f t="shared" si="3"/>
        <v>11.107791637624054</v>
      </c>
      <c r="I44" s="7">
        <v>9.5350794012096732E-4</v>
      </c>
      <c r="J44" s="38">
        <f t="shared" si="4"/>
        <v>0.99904649205987905</v>
      </c>
      <c r="K44" s="29">
        <f t="shared" si="5"/>
        <v>73.57418977178942</v>
      </c>
      <c r="L44" s="25">
        <v>34945.745022779527</v>
      </c>
      <c r="M44" s="25">
        <v>1151030.5448425731</v>
      </c>
      <c r="N44" s="25">
        <v>25815246.707115188</v>
      </c>
      <c r="O44" s="27">
        <v>4.9319729083869115</v>
      </c>
      <c r="P44" s="27">
        <v>24.299914731590114</v>
      </c>
      <c r="Q44" s="27">
        <v>116.44700637648248</v>
      </c>
      <c r="R44" s="29">
        <v>32.667691522218682</v>
      </c>
      <c r="S44" s="29">
        <v>208.99825726808209</v>
      </c>
      <c r="T44" s="29">
        <v>1142.1043437130038</v>
      </c>
    </row>
    <row r="45" spans="1:20" x14ac:dyDescent="0.25">
      <c r="A45" s="24">
        <f t="shared" si="6"/>
        <v>41</v>
      </c>
      <c r="B45" s="12">
        <v>9.6454631874368481E-4</v>
      </c>
      <c r="C45" s="12">
        <f t="shared" si="0"/>
        <v>0.99903545368125635</v>
      </c>
      <c r="D45" s="25">
        <f t="shared" si="7"/>
        <v>77076.90910345914</v>
      </c>
      <c r="E45" s="25">
        <f t="shared" si="1"/>
        <v>74.344248935885844</v>
      </c>
      <c r="F45" s="6">
        <v>1.1302067619308025E-4</v>
      </c>
      <c r="G45" s="37">
        <f t="shared" si="2"/>
        <v>0.99988697932380688</v>
      </c>
      <c r="H45" s="27">
        <f t="shared" si="3"/>
        <v>8.7112843857455342</v>
      </c>
      <c r="I45" s="7">
        <v>8.5152564255060452E-4</v>
      </c>
      <c r="J45" s="38">
        <f t="shared" si="4"/>
        <v>0.99914847435744936</v>
      </c>
      <c r="K45" s="29">
        <f t="shared" si="5"/>
        <v>65.632964550137586</v>
      </c>
      <c r="L45" s="25">
        <v>34222.934671627751</v>
      </c>
      <c r="M45" s="25">
        <v>1116084.7998197938</v>
      </c>
      <c r="N45" s="25">
        <v>24664216.162272613</v>
      </c>
      <c r="O45" s="27">
        <v>3.7920580567637052</v>
      </c>
      <c r="P45" s="27">
        <v>19.367941823203203</v>
      </c>
      <c r="Q45" s="27">
        <v>92.147091644892356</v>
      </c>
      <c r="R45" s="29">
        <v>28.57030042767175</v>
      </c>
      <c r="S45" s="29">
        <v>176.33056574586342</v>
      </c>
      <c r="T45" s="29">
        <v>933.10608644492174</v>
      </c>
    </row>
    <row r="46" spans="1:20" x14ac:dyDescent="0.25">
      <c r="A46" s="24">
        <f t="shared" si="6"/>
        <v>42</v>
      </c>
      <c r="B46" s="12">
        <v>8.6095697950231017E-4</v>
      </c>
      <c r="C46" s="12">
        <f t="shared" si="0"/>
        <v>0.99913904302049772</v>
      </c>
      <c r="D46" s="25">
        <f t="shared" si="7"/>
        <v>77002.564854523254</v>
      </c>
      <c r="E46" s="25">
        <f t="shared" si="1"/>
        <v>66.29589565108472</v>
      </c>
      <c r="F46" s="6">
        <v>8.6715091460664331E-5</v>
      </c>
      <c r="G46" s="37">
        <f t="shared" si="2"/>
        <v>0.99991328490853937</v>
      </c>
      <c r="H46" s="27">
        <f t="shared" si="3"/>
        <v>6.6772844540657212</v>
      </c>
      <c r="I46" s="7">
        <v>7.7424188804164581E-4</v>
      </c>
      <c r="J46" s="38">
        <f t="shared" si="4"/>
        <v>0.99922575811195835</v>
      </c>
      <c r="K46" s="29">
        <f t="shared" si="5"/>
        <v>59.618611197015362</v>
      </c>
      <c r="L46" s="25">
        <v>33519.534378405515</v>
      </c>
      <c r="M46" s="25">
        <v>1081861.8651481662</v>
      </c>
      <c r="N46" s="25">
        <v>23548131.36245282</v>
      </c>
      <c r="O46" s="27">
        <v>2.8496563621003101</v>
      </c>
      <c r="P46" s="27">
        <v>15.575883766439508</v>
      </c>
      <c r="Q46" s="27">
        <v>72.77914982168916</v>
      </c>
      <c r="R46" s="29">
        <v>25.443360375895626</v>
      </c>
      <c r="S46" s="29">
        <v>147.7602653181917</v>
      </c>
      <c r="T46" s="29">
        <v>756.77552069905835</v>
      </c>
    </row>
    <row r="47" spans="1:20" x14ac:dyDescent="0.25">
      <c r="A47" s="24">
        <f t="shared" si="6"/>
        <v>43</v>
      </c>
      <c r="B47" s="12">
        <v>8.037558033046091E-4</v>
      </c>
      <c r="C47" s="12">
        <f t="shared" si="0"/>
        <v>0.99919624419669539</v>
      </c>
      <c r="D47" s="25">
        <f t="shared" si="7"/>
        <v>76936.26895887217</v>
      </c>
      <c r="E47" s="25">
        <f t="shared" si="1"/>
        <v>61.837972660301602</v>
      </c>
      <c r="F47" s="6">
        <v>8.9822421178549754E-5</v>
      </c>
      <c r="G47" s="37">
        <f t="shared" si="2"/>
        <v>0.9999101775788215</v>
      </c>
      <c r="H47" s="27">
        <f t="shared" si="3"/>
        <v>6.9106019543299997</v>
      </c>
      <c r="I47" s="7">
        <v>7.1393338212605935E-4</v>
      </c>
      <c r="J47" s="38">
        <f t="shared" si="4"/>
        <v>0.99928606661787389</v>
      </c>
      <c r="K47" s="29">
        <f t="shared" si="5"/>
        <v>54.927370705967761</v>
      </c>
      <c r="L47" s="25">
        <v>32833.995589541919</v>
      </c>
      <c r="M47" s="25">
        <v>1048342.3307697603</v>
      </c>
      <c r="N47" s="25">
        <v>22466269.497304652</v>
      </c>
      <c r="O47" s="27">
        <v>2.8914009615867444</v>
      </c>
      <c r="P47" s="27">
        <v>12.726227404339198</v>
      </c>
      <c r="Q47" s="27">
        <v>57.203266055249649</v>
      </c>
      <c r="R47" s="29">
        <v>22.981652470542919</v>
      </c>
      <c r="S47" s="29">
        <v>122.31690494229615</v>
      </c>
      <c r="T47" s="29">
        <v>609.01525538086662</v>
      </c>
    </row>
    <row r="48" spans="1:20" x14ac:dyDescent="0.25">
      <c r="A48" s="24">
        <f t="shared" si="6"/>
        <v>44</v>
      </c>
      <c r="B48" s="12">
        <v>6.7686926307843531E-4</v>
      </c>
      <c r="C48" s="12">
        <f t="shared" si="0"/>
        <v>0.99932313073692158</v>
      </c>
      <c r="D48" s="25">
        <f t="shared" si="7"/>
        <v>76874.430986211868</v>
      </c>
      <c r="E48" s="25">
        <f t="shared" si="1"/>
        <v>52.033939451212063</v>
      </c>
      <c r="F48" s="6">
        <v>7.27982960290308E-5</v>
      </c>
      <c r="G48" s="37">
        <f t="shared" si="2"/>
        <v>0.99992720170397098</v>
      </c>
      <c r="H48" s="27">
        <f t="shared" si="3"/>
        <v>5.5963275839975495</v>
      </c>
      <c r="I48" s="7">
        <v>6.0407096704940448E-4</v>
      </c>
      <c r="J48" s="38">
        <f t="shared" si="4"/>
        <v>0.9993959290329506</v>
      </c>
      <c r="K48" s="29">
        <f t="shared" si="5"/>
        <v>46.437611867213711</v>
      </c>
      <c r="L48" s="25">
        <v>32164.318701020733</v>
      </c>
      <c r="M48" s="25">
        <v>1015508.3351802186</v>
      </c>
      <c r="N48" s="25">
        <v>21417927.166534893</v>
      </c>
      <c r="O48" s="27">
        <v>2.29559568075392</v>
      </c>
      <c r="P48" s="27">
        <v>9.8348264427524512</v>
      </c>
      <c r="Q48" s="27">
        <v>44.477038650910451</v>
      </c>
      <c r="R48" s="29">
        <v>19.048559904128272</v>
      </c>
      <c r="S48" s="29">
        <v>99.335252471753222</v>
      </c>
      <c r="T48" s="29">
        <v>486.69835043857051</v>
      </c>
    </row>
    <row r="49" spans="1:20" x14ac:dyDescent="0.25">
      <c r="A49" s="24">
        <f t="shared" si="6"/>
        <v>45</v>
      </c>
      <c r="B49" s="12">
        <v>5.6696982190234258E-4</v>
      </c>
      <c r="C49" s="12">
        <f t="shared" si="0"/>
        <v>0.9994330301780977</v>
      </c>
      <c r="D49" s="25">
        <f t="shared" si="7"/>
        <v>76822.397046760656</v>
      </c>
      <c r="E49" s="25">
        <f t="shared" si="1"/>
        <v>43.555980771707254</v>
      </c>
      <c r="F49" s="6">
        <v>4.3374740473403251E-5</v>
      </c>
      <c r="G49" s="37">
        <f t="shared" si="2"/>
        <v>0.99995662525952655</v>
      </c>
      <c r="H49" s="27">
        <f t="shared" si="3"/>
        <v>3.3321515344479837</v>
      </c>
      <c r="I49" s="7">
        <v>5.2359508142893929E-4</v>
      </c>
      <c r="J49" s="38">
        <f t="shared" si="4"/>
        <v>0.99947640491857104</v>
      </c>
      <c r="K49" s="29">
        <f t="shared" si="5"/>
        <v>40.223829237264951</v>
      </c>
      <c r="L49" s="25">
        <v>31512.301629729558</v>
      </c>
      <c r="M49" s="25">
        <v>983344.01647919789</v>
      </c>
      <c r="N49" s="25">
        <v>20402418.831354674</v>
      </c>
      <c r="O49" s="27">
        <v>1.3400371616756097</v>
      </c>
      <c r="P49" s="27">
        <v>7.5392307619985282</v>
      </c>
      <c r="Q49" s="27">
        <v>34.642212208158</v>
      </c>
      <c r="R49" s="29">
        <v>16.176162880227004</v>
      </c>
      <c r="S49" s="29">
        <v>80.286692567624939</v>
      </c>
      <c r="T49" s="29">
        <v>387.36309796681729</v>
      </c>
    </row>
    <row r="50" spans="1:20" x14ac:dyDescent="0.25">
      <c r="A50" s="24">
        <f t="shared" si="6"/>
        <v>46</v>
      </c>
      <c r="B50" s="12">
        <v>5.1278753885682234E-4</v>
      </c>
      <c r="C50" s="12">
        <f t="shared" si="0"/>
        <v>0.99948721246114314</v>
      </c>
      <c r="D50" s="25">
        <f t="shared" si="7"/>
        <v>76778.841065988949</v>
      </c>
      <c r="E50" s="25">
        <f t="shared" si="1"/>
        <v>39.371232946505188</v>
      </c>
      <c r="F50" s="6">
        <v>6.3517489707340537E-5</v>
      </c>
      <c r="G50" s="37">
        <f t="shared" si="2"/>
        <v>0.99993648251029266</v>
      </c>
      <c r="H50" s="27">
        <f t="shared" si="3"/>
        <v>4.8767992471504877</v>
      </c>
      <c r="I50" s="7">
        <v>4.4927004914948178E-4</v>
      </c>
      <c r="J50" s="38">
        <f t="shared" si="4"/>
        <v>0.99955072995085048</v>
      </c>
      <c r="K50" s="29">
        <f t="shared" si="5"/>
        <v>34.494433699357103</v>
      </c>
      <c r="L50" s="25">
        <v>30876.897162438057</v>
      </c>
      <c r="M50" s="25">
        <v>951831.71484946832</v>
      </c>
      <c r="N50" s="25">
        <v>19419074.814875476</v>
      </c>
      <c r="O50" s="27">
        <v>1.9227676448135014</v>
      </c>
      <c r="P50" s="27">
        <v>6.1991936003229196</v>
      </c>
      <c r="Q50" s="27">
        <v>27.102981446159468</v>
      </c>
      <c r="R50" s="29">
        <v>13.600063829168667</v>
      </c>
      <c r="S50" s="29">
        <v>64.110529687397914</v>
      </c>
      <c r="T50" s="29">
        <v>307.07640539919237</v>
      </c>
    </row>
    <row r="51" spans="1:20" x14ac:dyDescent="0.25">
      <c r="A51" s="24">
        <f t="shared" si="6"/>
        <v>47</v>
      </c>
      <c r="B51" s="12">
        <v>3.6721213825572523E-4</v>
      </c>
      <c r="C51" s="12">
        <f t="shared" si="0"/>
        <v>0.99963278786174425</v>
      </c>
      <c r="D51" s="25">
        <f t="shared" si="7"/>
        <v>76739.469833042443</v>
      </c>
      <c r="E51" s="25">
        <f t="shared" si="1"/>
        <v>28.179664805997163</v>
      </c>
      <c r="F51" s="6">
        <v>3.7186039317035467E-5</v>
      </c>
      <c r="G51" s="37">
        <f t="shared" si="2"/>
        <v>0.99996281396068298</v>
      </c>
      <c r="H51" s="27">
        <f t="shared" si="3"/>
        <v>2.8536369423799735</v>
      </c>
      <c r="I51" s="7">
        <v>3.3002609893868979E-4</v>
      </c>
      <c r="J51" s="38">
        <f t="shared" si="4"/>
        <v>0.99966997390106127</v>
      </c>
      <c r="K51" s="29">
        <f t="shared" si="5"/>
        <v>25.326027863622265</v>
      </c>
      <c r="L51" s="25">
        <v>30255.944974837839</v>
      </c>
      <c r="M51" s="25">
        <v>920954.81768703018</v>
      </c>
      <c r="N51" s="25">
        <v>18467243.100026008</v>
      </c>
      <c r="O51" s="27">
        <v>1.1030379994199819</v>
      </c>
      <c r="P51" s="27">
        <v>4.2764259555094171</v>
      </c>
      <c r="Q51" s="27">
        <v>20.90378784583655</v>
      </c>
      <c r="R51" s="29">
        <v>9.7894622448523396</v>
      </c>
      <c r="S51" s="29">
        <v>50.510465858229246</v>
      </c>
      <c r="T51" s="29">
        <v>242.96587571179444</v>
      </c>
    </row>
    <row r="52" spans="1:20" x14ac:dyDescent="0.25">
      <c r="A52" s="24">
        <f t="shared" si="6"/>
        <v>48</v>
      </c>
      <c r="B52" s="12">
        <v>3.1145334775019447E-4</v>
      </c>
      <c r="C52" s="12">
        <f t="shared" si="0"/>
        <v>0.99968854665224982</v>
      </c>
      <c r="D52" s="25">
        <f t="shared" si="7"/>
        <v>76711.290168236446</v>
      </c>
      <c r="E52" s="25">
        <f t="shared" si="1"/>
        <v>23.891988133138511</v>
      </c>
      <c r="F52" s="6">
        <v>2.1693268002501116E-5</v>
      </c>
      <c r="G52" s="37">
        <f t="shared" si="2"/>
        <v>0.9999783067319975</v>
      </c>
      <c r="H52" s="27">
        <f t="shared" si="3"/>
        <v>1.6641185764371822</v>
      </c>
      <c r="I52" s="7">
        <v>2.8976007974769338E-4</v>
      </c>
      <c r="J52" s="38">
        <f t="shared" si="4"/>
        <v>0.99971023992025232</v>
      </c>
      <c r="K52" s="29">
        <f t="shared" si="5"/>
        <v>22.227869556696639</v>
      </c>
      <c r="L52" s="25">
        <v>29651.798651557532</v>
      </c>
      <c r="M52" s="25">
        <v>890698.87271219236</v>
      </c>
      <c r="N52" s="25">
        <v>17546288.282338977</v>
      </c>
      <c r="O52" s="27">
        <v>0.63063177931807723</v>
      </c>
      <c r="P52" s="27">
        <v>3.173387956089436</v>
      </c>
      <c r="Q52" s="27">
        <v>16.627361890327133</v>
      </c>
      <c r="R52" s="29">
        <v>8.4234387666057415</v>
      </c>
      <c r="S52" s="29">
        <v>40.721003613376915</v>
      </c>
      <c r="T52" s="29">
        <v>192.45540985356519</v>
      </c>
    </row>
    <row r="53" spans="1:20" x14ac:dyDescent="0.25">
      <c r="A53" s="24">
        <f t="shared" si="6"/>
        <v>49</v>
      </c>
      <c r="B53" s="12">
        <v>2.5878212769646483E-4</v>
      </c>
      <c r="C53" s="12">
        <f t="shared" si="0"/>
        <v>0.99974121787230352</v>
      </c>
      <c r="D53" s="25">
        <f t="shared" si="7"/>
        <v>76687.398180103308</v>
      </c>
      <c r="E53" s="25">
        <f t="shared" si="1"/>
        <v>19.845328068549861</v>
      </c>
      <c r="F53" s="6">
        <v>1.3946342211186731E-5</v>
      </c>
      <c r="G53" s="37">
        <f t="shared" si="2"/>
        <v>0.99998605365778881</v>
      </c>
      <c r="H53" s="27">
        <f t="shared" si="3"/>
        <v>1.0695086983052593</v>
      </c>
      <c r="I53" s="7">
        <v>2.4483578548527811E-4</v>
      </c>
      <c r="J53" s="38">
        <f t="shared" si="4"/>
        <v>0.99975516421451471</v>
      </c>
      <c r="K53" s="29">
        <f t="shared" si="5"/>
        <v>18.775819370247881</v>
      </c>
      <c r="L53" s="25">
        <v>29061.336764314397</v>
      </c>
      <c r="M53" s="25">
        <v>861047.07406063471</v>
      </c>
      <c r="N53" s="25">
        <v>16655589.409626786</v>
      </c>
      <c r="O53" s="27">
        <v>0.39735230159771645</v>
      </c>
      <c r="P53" s="27">
        <v>2.5427561767713582</v>
      </c>
      <c r="Q53" s="27">
        <v>13.453973934237698</v>
      </c>
      <c r="R53" s="29">
        <v>6.975740405826576</v>
      </c>
      <c r="S53" s="29">
        <v>32.297564846771166</v>
      </c>
      <c r="T53" s="29">
        <v>151.73440624018826</v>
      </c>
    </row>
    <row r="54" spans="1:20" x14ac:dyDescent="0.25">
      <c r="A54" s="24">
        <f t="shared" si="6"/>
        <v>50</v>
      </c>
      <c r="B54" s="12">
        <v>2.0920323774903854E-4</v>
      </c>
      <c r="C54" s="12">
        <f t="shared" si="0"/>
        <v>0.99979079676225091</v>
      </c>
      <c r="D54" s="25">
        <f t="shared" si="7"/>
        <v>76667.552852034758</v>
      </c>
      <c r="E54" s="25">
        <f t="shared" si="1"/>
        <v>16.039100286943722</v>
      </c>
      <c r="F54" s="6">
        <v>9.2979216777350443E-6</v>
      </c>
      <c r="G54" s="37">
        <f t="shared" si="2"/>
        <v>0.9999907020783223</v>
      </c>
      <c r="H54" s="27">
        <f t="shared" si="3"/>
        <v>0.71284890164183123</v>
      </c>
      <c r="I54" s="7">
        <v>1.9990531607130349E-4</v>
      </c>
      <c r="J54" s="38">
        <f t="shared" si="4"/>
        <v>0.99980009468392872</v>
      </c>
      <c r="K54" s="29">
        <f t="shared" si="5"/>
        <v>15.326251385299374</v>
      </c>
      <c r="L54" s="25">
        <v>28484.133538973361</v>
      </c>
      <c r="M54" s="25">
        <v>831985.7372963205</v>
      </c>
      <c r="N54" s="25">
        <v>15794542.33556615</v>
      </c>
      <c r="O54" s="27">
        <v>0.25965023794462772</v>
      </c>
      <c r="P54" s="27">
        <v>2.1454038751736419</v>
      </c>
      <c r="Q54" s="27">
        <v>10.911217757466339</v>
      </c>
      <c r="R54" s="29">
        <v>5.5824801158094965</v>
      </c>
      <c r="S54" s="29">
        <v>25.321824440944592</v>
      </c>
      <c r="T54" s="29">
        <v>119.43684139341711</v>
      </c>
    </row>
    <row r="55" spans="1:20" x14ac:dyDescent="0.25">
      <c r="A55" s="24">
        <f t="shared" si="6"/>
        <v>51</v>
      </c>
      <c r="B55" s="12">
        <v>1.4877262575332216E-4</v>
      </c>
      <c r="C55" s="12">
        <f t="shared" si="0"/>
        <v>0.9998512273742467</v>
      </c>
      <c r="D55" s="25">
        <f t="shared" si="7"/>
        <v>76651.513751747814</v>
      </c>
      <c r="E55" s="25">
        <f t="shared" si="1"/>
        <v>11.403646968814428</v>
      </c>
      <c r="F55" s="6">
        <v>1.7046863367568169E-5</v>
      </c>
      <c r="G55" s="37">
        <f t="shared" si="2"/>
        <v>0.99998295313663244</v>
      </c>
      <c r="H55" s="27">
        <f t="shared" si="3"/>
        <v>1.3066678818433175</v>
      </c>
      <c r="I55" s="7">
        <v>1.3172576238575399E-4</v>
      </c>
      <c r="J55" s="38">
        <f t="shared" si="4"/>
        <v>0.99986827423761426</v>
      </c>
      <c r="K55" s="29">
        <f t="shared" si="5"/>
        <v>10.096979086971087</v>
      </c>
      <c r="L55" s="25">
        <v>27919.778986286794</v>
      </c>
      <c r="M55" s="25">
        <v>803501.6037573471</v>
      </c>
      <c r="N55" s="25">
        <v>14962556.59826983</v>
      </c>
      <c r="O55" s="27">
        <v>0.46661240944307047</v>
      </c>
      <c r="P55" s="27">
        <v>1.8857536372290145</v>
      </c>
      <c r="Q55" s="27">
        <v>8.7658138822926972</v>
      </c>
      <c r="R55" s="29">
        <v>3.6056413456964531</v>
      </c>
      <c r="S55" s="29">
        <v>19.73934432513509</v>
      </c>
      <c r="T55" s="29">
        <v>94.115016952472516</v>
      </c>
    </row>
    <row r="56" spans="1:20" x14ac:dyDescent="0.25">
      <c r="A56" s="24">
        <f t="shared" si="6"/>
        <v>52</v>
      </c>
      <c r="B56" s="12">
        <v>1.3637807716586147E-4</v>
      </c>
      <c r="C56" s="12">
        <f t="shared" si="0"/>
        <v>0.99986362192283418</v>
      </c>
      <c r="D56" s="25">
        <f t="shared" si="7"/>
        <v>76640.110104779</v>
      </c>
      <c r="E56" s="25">
        <f t="shared" si="1"/>
        <v>10.45203084986133</v>
      </c>
      <c r="F56" s="6">
        <v>1.3947757891963108E-5</v>
      </c>
      <c r="G56" s="37">
        <f t="shared" si="2"/>
        <v>0.99998605224210801</v>
      </c>
      <c r="H56" s="27">
        <f t="shared" si="3"/>
        <v>1.068957700554853</v>
      </c>
      <c r="I56" s="7">
        <v>1.2243031927389837E-4</v>
      </c>
      <c r="J56" s="38">
        <f t="shared" si="4"/>
        <v>0.99987756968072605</v>
      </c>
      <c r="K56" s="29">
        <f t="shared" si="5"/>
        <v>9.3830731493148178</v>
      </c>
      <c r="L56" s="25">
        <v>27368.26008574172</v>
      </c>
      <c r="M56" s="25">
        <v>775581.82477106026</v>
      </c>
      <c r="N56" s="25">
        <v>14159054.994512482</v>
      </c>
      <c r="O56" s="27">
        <v>0.37424104470608138</v>
      </c>
      <c r="P56" s="27">
        <v>1.4191412277859439</v>
      </c>
      <c r="Q56" s="27">
        <v>6.8800602450636825</v>
      </c>
      <c r="R56" s="29">
        <v>3.2850047257533803</v>
      </c>
      <c r="S56" s="29">
        <v>16.133702979438638</v>
      </c>
      <c r="T56" s="29">
        <v>74.375672627337423</v>
      </c>
    </row>
    <row r="57" spans="1:20" x14ac:dyDescent="0.25">
      <c r="A57" s="24">
        <f t="shared" si="6"/>
        <v>53</v>
      </c>
      <c r="B57" s="12">
        <v>1.1003529652438224E-4</v>
      </c>
      <c r="C57" s="12">
        <f t="shared" si="0"/>
        <v>0.99988996470347558</v>
      </c>
      <c r="D57" s="25">
        <f t="shared" si="7"/>
        <v>76629.658073929138</v>
      </c>
      <c r="E57" s="25">
        <f t="shared" si="1"/>
        <v>8.4319671487319283</v>
      </c>
      <c r="F57" s="6">
        <v>3.0995858175882318E-6</v>
      </c>
      <c r="G57" s="37">
        <f t="shared" si="2"/>
        <v>0.99999690041418243</v>
      </c>
      <c r="H57" s="27">
        <f t="shared" si="3"/>
        <v>0.23752020137258631</v>
      </c>
      <c r="I57" s="7">
        <v>1.06935710706794E-4</v>
      </c>
      <c r="J57" s="38">
        <f t="shared" si="4"/>
        <v>0.99989306428929325</v>
      </c>
      <c r="K57" s="29">
        <f t="shared" si="5"/>
        <v>8.1944469473542281</v>
      </c>
      <c r="L57" s="25">
        <v>26827.968289270444</v>
      </c>
      <c r="M57" s="25">
        <v>748213.56468531862</v>
      </c>
      <c r="N57" s="25">
        <v>13383473.169741422</v>
      </c>
      <c r="O57" s="27">
        <v>8.1525088258950482E-2</v>
      </c>
      <c r="P57" s="27">
        <v>1.0449001830798623</v>
      </c>
      <c r="Q57" s="27">
        <v>5.4609190172777389</v>
      </c>
      <c r="R57" s="29">
        <v>2.8126155449337915</v>
      </c>
      <c r="S57" s="29">
        <v>12.848698253685257</v>
      </c>
      <c r="T57" s="29">
        <v>58.241969647898785</v>
      </c>
    </row>
    <row r="58" spans="1:20" x14ac:dyDescent="0.25">
      <c r="A58" s="24">
        <f t="shared" si="6"/>
        <v>54</v>
      </c>
      <c r="B58" s="12">
        <v>9.2988655365950891E-5</v>
      </c>
      <c r="C58" s="12">
        <f t="shared" si="0"/>
        <v>0.999907011344634</v>
      </c>
      <c r="D58" s="25">
        <f t="shared" si="7"/>
        <v>76621.226106780407</v>
      </c>
      <c r="E58" s="25">
        <f t="shared" si="1"/>
        <v>7.124904788157437</v>
      </c>
      <c r="F58" s="6">
        <v>9.2988655365950884E-6</v>
      </c>
      <c r="G58" s="37">
        <f t="shared" si="2"/>
        <v>0.99999070113446342</v>
      </c>
      <c r="H58" s="27">
        <f t="shared" si="3"/>
        <v>0.71249047881600014</v>
      </c>
      <c r="I58" s="7">
        <v>8.3689789829355799E-5</v>
      </c>
      <c r="J58" s="38">
        <f t="shared" si="4"/>
        <v>0.99991631021017069</v>
      </c>
      <c r="K58" s="29">
        <f t="shared" si="5"/>
        <v>6.412414309344002</v>
      </c>
      <c r="L58" s="25">
        <v>26299.035554729984</v>
      </c>
      <c r="M58" s="25">
        <v>721385.59639604832</v>
      </c>
      <c r="N58" s="25">
        <v>12635259.605056103</v>
      </c>
      <c r="O58" s="27">
        <v>0.23975607388781131</v>
      </c>
      <c r="P58" s="27">
        <v>0.96337509482091188</v>
      </c>
      <c r="Q58" s="27">
        <v>4.4160188341978763</v>
      </c>
      <c r="R58" s="29">
        <v>2.157804664990302</v>
      </c>
      <c r="S58" s="29">
        <v>10.036082708751465</v>
      </c>
      <c r="T58" s="29">
        <v>45.393271394213528</v>
      </c>
    </row>
    <row r="59" spans="1:20" x14ac:dyDescent="0.25">
      <c r="A59" s="24">
        <f t="shared" si="6"/>
        <v>55</v>
      </c>
      <c r="B59" s="12">
        <v>7.284252452839559E-5</v>
      </c>
      <c r="C59" s="12">
        <f t="shared" si="0"/>
        <v>0.99992715747547156</v>
      </c>
      <c r="D59" s="25">
        <f t="shared" si="7"/>
        <v>76614.101201992249</v>
      </c>
      <c r="E59" s="25">
        <f t="shared" si="1"/>
        <v>5.5807645460299682</v>
      </c>
      <c r="F59" s="6">
        <v>6.1993637896506883E-6</v>
      </c>
      <c r="G59" s="37">
        <f t="shared" si="2"/>
        <v>0.99999380063621035</v>
      </c>
      <c r="H59" s="27">
        <f t="shared" si="3"/>
        <v>0.47495868476826403</v>
      </c>
      <c r="I59" s="7">
        <v>6.6643160738744897E-5</v>
      </c>
      <c r="J59" s="38">
        <f t="shared" si="4"/>
        <v>0.99993335683926121</v>
      </c>
      <c r="K59" s="29">
        <f t="shared" si="5"/>
        <v>5.1058058612588377</v>
      </c>
      <c r="L59" s="25">
        <v>25780.970630172873</v>
      </c>
      <c r="M59" s="25">
        <v>695086.56084131845</v>
      </c>
      <c r="N59" s="25">
        <v>11913874.008660056</v>
      </c>
      <c r="O59" s="27">
        <v>0.15669178018307997</v>
      </c>
      <c r="P59" s="27">
        <v>0.7236190209331006</v>
      </c>
      <c r="Q59" s="27">
        <v>3.4526437393769642</v>
      </c>
      <c r="R59" s="29">
        <v>1.6844366369681096</v>
      </c>
      <c r="S59" s="29">
        <v>7.8782780437611661</v>
      </c>
      <c r="T59" s="29">
        <v>35.357188685462063</v>
      </c>
    </row>
    <row r="60" spans="1:20" x14ac:dyDescent="0.25">
      <c r="A60" s="24">
        <f t="shared" si="6"/>
        <v>56</v>
      </c>
      <c r="B60" s="12">
        <v>5.424527387412821E-5</v>
      </c>
      <c r="C60" s="12">
        <f t="shared" si="0"/>
        <v>0.9999457547261259</v>
      </c>
      <c r="D60" s="25">
        <f t="shared" si="7"/>
        <v>76608.520437446219</v>
      </c>
      <c r="E60" s="25">
        <f t="shared" si="1"/>
        <v>4.1556501722225221</v>
      </c>
      <c r="F60" s="6">
        <v>1.0849054774825643E-5</v>
      </c>
      <c r="G60" s="37">
        <f t="shared" si="2"/>
        <v>0.99998915094522522</v>
      </c>
      <c r="H60" s="27">
        <f t="shared" si="3"/>
        <v>0.83113003444420375</v>
      </c>
      <c r="I60" s="7">
        <v>4.3396219099302567E-5</v>
      </c>
      <c r="J60" s="38">
        <f t="shared" si="4"/>
        <v>0.99995660378090068</v>
      </c>
      <c r="K60" s="29">
        <f t="shared" si="5"/>
        <v>3.3245201377768145</v>
      </c>
      <c r="L60" s="25">
        <v>25273.620273713113</v>
      </c>
      <c r="M60" s="25">
        <v>669305.59021114558</v>
      </c>
      <c r="N60" s="25">
        <v>11218787.447818737</v>
      </c>
      <c r="O60" s="27">
        <v>0.26881852030162495</v>
      </c>
      <c r="P60" s="27">
        <v>0.56692724075002054</v>
      </c>
      <c r="Q60" s="27">
        <v>2.7290247184438639</v>
      </c>
      <c r="R60" s="29">
        <v>1.0752740812064996</v>
      </c>
      <c r="S60" s="29">
        <v>6.1938414067930561</v>
      </c>
      <c r="T60" s="29">
        <v>27.478910641700899</v>
      </c>
    </row>
    <row r="61" spans="1:20" x14ac:dyDescent="0.25">
      <c r="A61" s="24">
        <f t="shared" si="6"/>
        <v>57</v>
      </c>
      <c r="B61" s="12">
        <v>3.0997995979206215E-5</v>
      </c>
      <c r="C61" s="12">
        <f t="shared" si="0"/>
        <v>0.99996900200402083</v>
      </c>
      <c r="D61" s="25">
        <f t="shared" si="7"/>
        <v>76604.364787273997</v>
      </c>
      <c r="E61" s="25">
        <f t="shared" si="1"/>
        <v>2.3745817916642409</v>
      </c>
      <c r="F61" s="6">
        <v>1.549899798960311E-6</v>
      </c>
      <c r="G61" s="37">
        <f t="shared" si="2"/>
        <v>0.99999845010020105</v>
      </c>
      <c r="H61" s="27">
        <f t="shared" si="3"/>
        <v>0.1187290895832783</v>
      </c>
      <c r="I61" s="7">
        <v>2.9448096180245907E-5</v>
      </c>
      <c r="J61" s="38">
        <f t="shared" si="4"/>
        <v>0.99997055190381978</v>
      </c>
      <c r="K61" s="29">
        <f t="shared" si="5"/>
        <v>2.2558527020822874</v>
      </c>
      <c r="L61" s="25">
        <v>24776.714999274092</v>
      </c>
      <c r="M61" s="25">
        <v>644031.96993743256</v>
      </c>
      <c r="N61" s="25">
        <v>10549481.857607592</v>
      </c>
      <c r="O61" s="27">
        <v>3.7648456466933176E-2</v>
      </c>
      <c r="P61" s="27">
        <v>0.29810872044839565</v>
      </c>
      <c r="Q61" s="27">
        <v>2.1620974776938433</v>
      </c>
      <c r="R61" s="29">
        <v>0.71532067287173018</v>
      </c>
      <c r="S61" s="29">
        <v>5.1185673255865565</v>
      </c>
      <c r="T61" s="29">
        <v>21.285069234907844</v>
      </c>
    </row>
    <row r="62" spans="1:20" x14ac:dyDescent="0.25">
      <c r="A62" s="24">
        <f t="shared" si="6"/>
        <v>58</v>
      </c>
      <c r="B62" s="12">
        <v>4.6496705708400561E-5</v>
      </c>
      <c r="C62" s="12">
        <f t="shared" si="0"/>
        <v>0.99995350329429156</v>
      </c>
      <c r="D62" s="25">
        <f t="shared" si="7"/>
        <v>76601.990205482332</v>
      </c>
      <c r="E62" s="25">
        <f t="shared" si="1"/>
        <v>3.5617401952622458</v>
      </c>
      <c r="F62" s="6">
        <v>0</v>
      </c>
      <c r="G62" s="37">
        <f t="shared" si="2"/>
        <v>1</v>
      </c>
      <c r="H62" s="27">
        <f t="shared" si="3"/>
        <v>0</v>
      </c>
      <c r="I62" s="7">
        <v>4.6496705708400561E-5</v>
      </c>
      <c r="J62" s="38">
        <f t="shared" si="4"/>
        <v>0.99995350329429156</v>
      </c>
      <c r="K62" s="29">
        <f t="shared" si="5"/>
        <v>3.5617401952620944</v>
      </c>
      <c r="L62" s="25">
        <v>24290.144088982517</v>
      </c>
      <c r="M62" s="25">
        <v>619255.25493815856</v>
      </c>
      <c r="N62" s="25">
        <v>9905449.8876701593</v>
      </c>
      <c r="O62" s="27">
        <v>0</v>
      </c>
      <c r="P62" s="27">
        <v>0.26046026398146249</v>
      </c>
      <c r="Q62" s="27">
        <v>1.8639887572454477</v>
      </c>
      <c r="R62" s="29">
        <v>1.1072663542353585</v>
      </c>
      <c r="S62" s="29">
        <v>4.4032466527148255</v>
      </c>
      <c r="T62" s="29">
        <v>16.166501909321287</v>
      </c>
    </row>
    <row r="63" spans="1:20" x14ac:dyDescent="0.25">
      <c r="A63" s="24">
        <f t="shared" si="6"/>
        <v>59</v>
      </c>
      <c r="B63" s="12">
        <v>4.029726985880535E-5</v>
      </c>
      <c r="C63" s="12">
        <f t="shared" si="0"/>
        <v>0.99995970273014123</v>
      </c>
      <c r="D63" s="25">
        <f t="shared" si="7"/>
        <v>76598.42846528707</v>
      </c>
      <c r="E63" s="25">
        <f t="shared" si="1"/>
        <v>3.0867075426212978</v>
      </c>
      <c r="F63" s="6">
        <v>3.0997899891388727E-6</v>
      </c>
      <c r="G63" s="37">
        <f t="shared" si="2"/>
        <v>0.99999690021001086</v>
      </c>
      <c r="H63" s="27">
        <f t="shared" si="3"/>
        <v>0.23743904174046693</v>
      </c>
      <c r="I63" s="7">
        <v>3.7197479869666474E-5</v>
      </c>
      <c r="J63" s="38">
        <f t="shared" si="4"/>
        <v>0.99996280252013037</v>
      </c>
      <c r="K63" s="29">
        <f t="shared" si="5"/>
        <v>2.8492685008856031</v>
      </c>
      <c r="L63" s="25">
        <v>23812.759487550193</v>
      </c>
      <c r="M63" s="25">
        <v>594965.11084917584</v>
      </c>
      <c r="N63" s="25">
        <v>9286194.6327320002</v>
      </c>
      <c r="O63" s="27">
        <v>7.2367209287529211E-2</v>
      </c>
      <c r="P63" s="27">
        <v>0.26046026398146249</v>
      </c>
      <c r="Q63" s="27">
        <v>1.6035284932639851</v>
      </c>
      <c r="R63" s="29">
        <v>0.86840651145035064</v>
      </c>
      <c r="S63" s="29">
        <v>3.2959802984794671</v>
      </c>
      <c r="T63" s="29">
        <v>11.763255256606461</v>
      </c>
    </row>
    <row r="64" spans="1:20" x14ac:dyDescent="0.25">
      <c r="A64" s="24">
        <f t="shared" si="6"/>
        <v>60</v>
      </c>
      <c r="B64" s="12">
        <v>3.7197652828106538E-5</v>
      </c>
      <c r="C64" s="12">
        <f t="shared" si="0"/>
        <v>0.99996280234717194</v>
      </c>
      <c r="D64" s="25">
        <f t="shared" si="7"/>
        <v>76595.341757744449</v>
      </c>
      <c r="E64" s="25">
        <f t="shared" si="1"/>
        <v>2.8491669309441932</v>
      </c>
      <c r="F64" s="6">
        <v>0</v>
      </c>
      <c r="G64" s="37">
        <f t="shared" si="2"/>
        <v>1</v>
      </c>
      <c r="H64" s="27">
        <f t="shared" si="3"/>
        <v>0</v>
      </c>
      <c r="I64" s="7">
        <v>3.7197652828106538E-5</v>
      </c>
      <c r="J64" s="38">
        <f t="shared" si="4"/>
        <v>0.99996280234717194</v>
      </c>
      <c r="K64" s="29">
        <f t="shared" si="5"/>
        <v>2.8491669309547496</v>
      </c>
      <c r="L64" s="25">
        <v>23344.901861132392</v>
      </c>
      <c r="M64" s="25">
        <v>571152.3513616256</v>
      </c>
      <c r="N64" s="25">
        <v>8691229.5218828246</v>
      </c>
      <c r="O64" s="27">
        <v>0</v>
      </c>
      <c r="P64" s="27">
        <v>0.18809305469393328</v>
      </c>
      <c r="Q64" s="27">
        <v>1.3430682292825225</v>
      </c>
      <c r="R64" s="29">
        <v>0.85134858307511851</v>
      </c>
      <c r="S64" s="29">
        <v>2.4275737870291163</v>
      </c>
      <c r="T64" s="29">
        <v>8.4672749581269944</v>
      </c>
    </row>
    <row r="65" spans="1:20" x14ac:dyDescent="0.25">
      <c r="A65" s="24">
        <f t="shared" si="6"/>
        <v>61</v>
      </c>
      <c r="B65" s="12">
        <v>1.3949281960711073E-5</v>
      </c>
      <c r="C65" s="12">
        <f t="shared" si="0"/>
        <v>0.99998605071803925</v>
      </c>
      <c r="D65" s="25">
        <f t="shared" si="7"/>
        <v>76592.492590813505</v>
      </c>
      <c r="E65" s="25">
        <f t="shared" si="1"/>
        <v>1.0684102752275066</v>
      </c>
      <c r="F65" s="6">
        <v>0</v>
      </c>
      <c r="G65" s="37">
        <f t="shared" si="2"/>
        <v>1</v>
      </c>
      <c r="H65" s="27">
        <f t="shared" si="3"/>
        <v>0</v>
      </c>
      <c r="I65" s="7">
        <v>1.3949281960711073E-5</v>
      </c>
      <c r="J65" s="38">
        <f t="shared" si="4"/>
        <v>0.99998605071803925</v>
      </c>
      <c r="K65" s="29">
        <f t="shared" si="5"/>
        <v>1.0684102752229312</v>
      </c>
      <c r="L65" s="25">
        <v>22886.307338801627</v>
      </c>
      <c r="M65" s="25">
        <v>547807.44950049324</v>
      </c>
      <c r="N65" s="25">
        <v>8120077.1705211997</v>
      </c>
      <c r="O65" s="27">
        <v>0</v>
      </c>
      <c r="P65" s="27">
        <v>0.18809305469393328</v>
      </c>
      <c r="Q65" s="27">
        <v>1.1549751745885892</v>
      </c>
      <c r="R65" s="29">
        <v>0.31298779814552447</v>
      </c>
      <c r="S65" s="29">
        <v>1.5762252039539977</v>
      </c>
      <c r="T65" s="29">
        <v>6.0397011710978781</v>
      </c>
    </row>
    <row r="66" spans="1:20" x14ac:dyDescent="0.25">
      <c r="A66" s="24">
        <f t="shared" si="6"/>
        <v>62</v>
      </c>
      <c r="B66" s="12">
        <v>1.7049095971501798E-5</v>
      </c>
      <c r="C66" s="12">
        <f t="shared" si="0"/>
        <v>0.99998295090402844</v>
      </c>
      <c r="D66" s="25">
        <f t="shared" si="7"/>
        <v>76591.424180538277</v>
      </c>
      <c r="E66" s="25">
        <f t="shared" si="1"/>
        <v>1.3058145414543105</v>
      </c>
      <c r="F66" s="6">
        <v>3.0998356311821457E-6</v>
      </c>
      <c r="G66" s="37">
        <f t="shared" si="2"/>
        <v>0.99999690016436882</v>
      </c>
      <c r="H66" s="27">
        <f t="shared" si="3"/>
        <v>0.23742082571781833</v>
      </c>
      <c r="I66" s="7">
        <v>1.3949260340319652E-5</v>
      </c>
      <c r="J66" s="38">
        <f t="shared" si="4"/>
        <v>0.99998605073965963</v>
      </c>
      <c r="K66" s="29">
        <f t="shared" si="5"/>
        <v>1.0683937157301822</v>
      </c>
      <c r="L66" s="25">
        <v>22437.243226713254</v>
      </c>
      <c r="M66" s="25">
        <v>524921.14216169168</v>
      </c>
      <c r="N66" s="25">
        <v>7572269.721020706</v>
      </c>
      <c r="O66" s="27">
        <v>6.818800590163332E-2</v>
      </c>
      <c r="P66" s="27">
        <v>0.18809305469393328</v>
      </c>
      <c r="Q66" s="27">
        <v>0.966882119894656</v>
      </c>
      <c r="R66" s="29">
        <v>0.30684602655734988</v>
      </c>
      <c r="S66" s="29">
        <v>1.263237405808473</v>
      </c>
      <c r="T66" s="29">
        <v>4.4634759671438804</v>
      </c>
    </row>
    <row r="67" spans="1:20" x14ac:dyDescent="0.25">
      <c r="A67" s="24">
        <f t="shared" si="6"/>
        <v>63</v>
      </c>
      <c r="B67" s="12">
        <v>9.2995717547206951E-6</v>
      </c>
      <c r="C67" s="12">
        <f t="shared" si="0"/>
        <v>0.99999070042824523</v>
      </c>
      <c r="D67" s="25">
        <f t="shared" si="7"/>
        <v>76590.118365996823</v>
      </c>
      <c r="E67" s="25">
        <f t="shared" si="1"/>
        <v>0.71225530144874938</v>
      </c>
      <c r="F67" s="6">
        <v>0</v>
      </c>
      <c r="G67" s="37">
        <f t="shared" si="2"/>
        <v>1</v>
      </c>
      <c r="H67" s="27">
        <f t="shared" si="3"/>
        <v>0</v>
      </c>
      <c r="I67" s="7">
        <v>9.2995717547206951E-6</v>
      </c>
      <c r="J67" s="38">
        <f t="shared" si="4"/>
        <v>0.99999070042824523</v>
      </c>
      <c r="K67" s="29">
        <f t="shared" si="5"/>
        <v>0.71225530144713878</v>
      </c>
      <c r="L67" s="25">
        <v>21996.922247058959</v>
      </c>
      <c r="M67" s="25">
        <v>502483.89893497847</v>
      </c>
      <c r="N67" s="25">
        <v>7047348.5788590144</v>
      </c>
      <c r="O67" s="27">
        <v>0</v>
      </c>
      <c r="P67" s="27">
        <v>0.11990504879229993</v>
      </c>
      <c r="Q67" s="27">
        <v>0.77878906520072277</v>
      </c>
      <c r="R67" s="29">
        <v>0.2005509380583694</v>
      </c>
      <c r="S67" s="29">
        <v>0.95639137925112316</v>
      </c>
      <c r="T67" s="29">
        <v>3.2002385613354072</v>
      </c>
    </row>
    <row r="68" spans="1:20" x14ac:dyDescent="0.25">
      <c r="A68" s="24">
        <f t="shared" si="6"/>
        <v>64</v>
      </c>
      <c r="B68" s="12">
        <v>1.3949325201393383E-5</v>
      </c>
      <c r="C68" s="12">
        <f t="shared" si="0"/>
        <v>0.99998605067479862</v>
      </c>
      <c r="D68" s="25">
        <f t="shared" si="7"/>
        <v>76589.406110695374</v>
      </c>
      <c r="E68" s="25">
        <f t="shared" si="1"/>
        <v>1.0683705328119686</v>
      </c>
      <c r="F68" s="6">
        <v>0</v>
      </c>
      <c r="G68" s="37">
        <f t="shared" si="2"/>
        <v>1</v>
      </c>
      <c r="H68" s="27">
        <f t="shared" si="3"/>
        <v>0</v>
      </c>
      <c r="I68" s="7">
        <v>1.3949325201393383E-5</v>
      </c>
      <c r="J68" s="38">
        <f t="shared" si="4"/>
        <v>0.99998605067479862</v>
      </c>
      <c r="K68" s="29">
        <f t="shared" si="5"/>
        <v>1.0683705328196753</v>
      </c>
      <c r="L68" s="25">
        <v>21565.409495198179</v>
      </c>
      <c r="M68" s="25">
        <v>480486.97668791946</v>
      </c>
      <c r="N68" s="25">
        <v>6544864.6799240364</v>
      </c>
      <c r="O68" s="27">
        <v>0</v>
      </c>
      <c r="P68" s="27">
        <v>0.11990504879229993</v>
      </c>
      <c r="Q68" s="27">
        <v>0.65888401640842287</v>
      </c>
      <c r="R68" s="29">
        <v>0.29492442171542754</v>
      </c>
      <c r="S68" s="29">
        <v>0.75584044119275373</v>
      </c>
      <c r="T68" s="29">
        <v>2.2438471820842838</v>
      </c>
    </row>
    <row r="69" spans="1:20" x14ac:dyDescent="0.25">
      <c r="A69" s="24">
        <f t="shared" si="6"/>
        <v>65</v>
      </c>
      <c r="B69" s="12">
        <v>3.0998668607183325E-6</v>
      </c>
      <c r="C69" s="12">
        <f t="shared" ref="C69:C96" si="8">1-B69</f>
        <v>0.99999690013313924</v>
      </c>
      <c r="D69" s="25">
        <f t="shared" si="7"/>
        <v>76588.337740162562</v>
      </c>
      <c r="E69" s="25">
        <f t="shared" ref="E69:E96" si="9">D69-D70</f>
        <v>0.23741365008754656</v>
      </c>
      <c r="F69" s="6">
        <v>0</v>
      </c>
      <c r="G69" s="37">
        <f t="shared" ref="G69:G96" si="10">1-F69</f>
        <v>1</v>
      </c>
      <c r="H69" s="27">
        <f t="shared" ref="H69:H96" si="11">D69*F69</f>
        <v>0</v>
      </c>
      <c r="I69" s="7">
        <v>3.0998668607183325E-6</v>
      </c>
      <c r="J69" s="38">
        <f t="shared" ref="J69:J96" si="12">1-I69</f>
        <v>0.99999690013313924</v>
      </c>
      <c r="K69" s="29">
        <f t="shared" ref="K69:K96" si="13">I69*D69</f>
        <v>0.23741365007823312</v>
      </c>
      <c r="L69" s="25">
        <v>21142.263404203954</v>
      </c>
      <c r="M69" s="25">
        <v>458921.5671927213</v>
      </c>
      <c r="N69" s="25">
        <v>6064377.703236117</v>
      </c>
      <c r="O69" s="27">
        <v>0</v>
      </c>
      <c r="P69" s="27">
        <v>0.11990504879229993</v>
      </c>
      <c r="Q69" s="27">
        <v>0.53897896761612296</v>
      </c>
      <c r="R69" s="29">
        <v>6.4253138909088015E-2</v>
      </c>
      <c r="S69" s="29">
        <v>0.4609160194773263</v>
      </c>
      <c r="T69" s="29">
        <v>1.4880067408915301</v>
      </c>
    </row>
    <row r="70" spans="1:20" x14ac:dyDescent="0.25">
      <c r="A70" s="24">
        <f t="shared" ref="A70:A96" si="14">A69+1</f>
        <v>66</v>
      </c>
      <c r="B70" s="12">
        <v>4.6497966876398321E-6</v>
      </c>
      <c r="C70" s="12">
        <f t="shared" si="8"/>
        <v>0.99999535020331232</v>
      </c>
      <c r="D70" s="25">
        <f t="shared" ref="D70:D96" si="15">D69*C69</f>
        <v>76588.100326512475</v>
      </c>
      <c r="E70" s="25">
        <f t="shared" si="9"/>
        <v>0.35611909521685448</v>
      </c>
      <c r="F70" s="6">
        <v>0</v>
      </c>
      <c r="G70" s="37">
        <f t="shared" si="10"/>
        <v>1</v>
      </c>
      <c r="H70" s="27">
        <f t="shared" si="11"/>
        <v>0</v>
      </c>
      <c r="I70" s="7">
        <v>4.6497966876398321E-6</v>
      </c>
      <c r="J70" s="38">
        <f t="shared" si="12"/>
        <v>0.99999535020331232</v>
      </c>
      <c r="K70" s="29">
        <f t="shared" si="13"/>
        <v>0.35611909521084484</v>
      </c>
      <c r="L70" s="25">
        <v>20727.644966668882</v>
      </c>
      <c r="M70" s="25">
        <v>437779.30378851737</v>
      </c>
      <c r="N70" s="25">
        <v>5605456.1360433958</v>
      </c>
      <c r="O70" s="27">
        <v>0</v>
      </c>
      <c r="P70" s="27">
        <v>0.11990504879229993</v>
      </c>
      <c r="Q70" s="27">
        <v>0.41907391882382306</v>
      </c>
      <c r="R70" s="29">
        <v>9.4489544028030795E-2</v>
      </c>
      <c r="S70" s="29">
        <v>0.39666288056823829</v>
      </c>
      <c r="T70" s="29">
        <v>1.0270907214142038</v>
      </c>
    </row>
    <row r="71" spans="1:20" x14ac:dyDescent="0.25">
      <c r="A71" s="24">
        <f t="shared" si="14"/>
        <v>67</v>
      </c>
      <c r="B71" s="12">
        <v>4.6497966876398321E-6</v>
      </c>
      <c r="C71" s="12">
        <f t="shared" si="8"/>
        <v>0.99999535020331232</v>
      </c>
      <c r="D71" s="25">
        <f t="shared" si="15"/>
        <v>76587.744207417258</v>
      </c>
      <c r="E71" s="25">
        <f t="shared" si="9"/>
        <v>0.35611743933986872</v>
      </c>
      <c r="F71" s="6">
        <v>0</v>
      </c>
      <c r="G71" s="37">
        <f t="shared" si="10"/>
        <v>1</v>
      </c>
      <c r="H71" s="27">
        <f t="shared" si="11"/>
        <v>0</v>
      </c>
      <c r="I71" s="7">
        <v>4.6497966876398321E-6</v>
      </c>
      <c r="J71" s="38">
        <f t="shared" si="12"/>
        <v>0.99999535020331232</v>
      </c>
      <c r="K71" s="29">
        <f t="shared" si="13"/>
        <v>0.3561174393294555</v>
      </c>
      <c r="L71" s="25">
        <v>20321.126066013698</v>
      </c>
      <c r="M71" s="25">
        <v>417051.65882184851</v>
      </c>
      <c r="N71" s="25">
        <v>5167676.8322548782</v>
      </c>
      <c r="O71" s="27">
        <v>0</v>
      </c>
      <c r="P71" s="27">
        <v>0.11990504879229993</v>
      </c>
      <c r="Q71" s="27">
        <v>0.29916887003152315</v>
      </c>
      <c r="R71" s="29">
        <v>9.2636377128296032E-2</v>
      </c>
      <c r="S71" s="29">
        <v>0.3021733365402075</v>
      </c>
      <c r="T71" s="29">
        <v>0.63042784084596537</v>
      </c>
    </row>
    <row r="72" spans="1:20" x14ac:dyDescent="0.25">
      <c r="A72" s="24">
        <f t="shared" si="14"/>
        <v>68</v>
      </c>
      <c r="B72" s="12">
        <v>7.7496491346075031E-6</v>
      </c>
      <c r="C72" s="12">
        <f t="shared" si="8"/>
        <v>0.99999225035086536</v>
      </c>
      <c r="D72" s="25">
        <f t="shared" si="15"/>
        <v>76587.388089977918</v>
      </c>
      <c r="E72" s="25">
        <f t="shared" si="9"/>
        <v>0.59352538583334535</v>
      </c>
      <c r="F72" s="6">
        <v>3.0998596538430017E-6</v>
      </c>
      <c r="G72" s="37">
        <f t="shared" si="10"/>
        <v>0.99999690014034615</v>
      </c>
      <c r="H72" s="27">
        <f t="shared" si="11"/>
        <v>0.23741015433333859</v>
      </c>
      <c r="I72" s="7">
        <v>4.6497894807645013E-6</v>
      </c>
      <c r="J72" s="38">
        <f t="shared" si="12"/>
        <v>0.99999535021051922</v>
      </c>
      <c r="K72" s="29">
        <f t="shared" si="13"/>
        <v>0.35611523150000779</v>
      </c>
      <c r="L72" s="25">
        <v>19922.579977361791</v>
      </c>
      <c r="M72" s="25">
        <v>396730.53275583481</v>
      </c>
      <c r="N72" s="25">
        <v>4750625.17343303</v>
      </c>
      <c r="O72" s="27">
        <v>6.0546276345376702E-2</v>
      </c>
      <c r="P72" s="27">
        <v>0.11990504879229993</v>
      </c>
      <c r="Q72" s="27">
        <v>0.17926382123922319</v>
      </c>
      <c r="R72" s="29">
        <v>9.0819414518065023E-2</v>
      </c>
      <c r="S72" s="29">
        <v>0.20953695941191147</v>
      </c>
      <c r="T72" s="29">
        <v>0.32825450430575792</v>
      </c>
    </row>
    <row r="73" spans="1:20" x14ac:dyDescent="0.25">
      <c r="A73" s="24">
        <f t="shared" si="14"/>
        <v>69</v>
      </c>
      <c r="B73" s="12">
        <v>9.2996005821103147E-6</v>
      </c>
      <c r="C73" s="12">
        <f t="shared" si="8"/>
        <v>0.99999070039941784</v>
      </c>
      <c r="D73" s="25">
        <f t="shared" si="15"/>
        <v>76586.794564592084</v>
      </c>
      <c r="E73" s="25">
        <f t="shared" si="9"/>
        <v>0.71222659932391252</v>
      </c>
      <c r="F73" s="6">
        <v>3.0998668607034386E-6</v>
      </c>
      <c r="G73" s="37">
        <f t="shared" si="10"/>
        <v>0.99999690013313924</v>
      </c>
      <c r="H73" s="27">
        <f t="shared" si="11"/>
        <v>0.23740886643828124</v>
      </c>
      <c r="I73" s="7">
        <v>6.1997337214068765E-6</v>
      </c>
      <c r="J73" s="38">
        <f t="shared" si="12"/>
        <v>0.9999938002662786</v>
      </c>
      <c r="K73" s="29">
        <f t="shared" si="13"/>
        <v>0.47481773287656243</v>
      </c>
      <c r="L73" s="25">
        <v>19531.7897885854</v>
      </c>
      <c r="M73" s="25">
        <v>376807.95277847303</v>
      </c>
      <c r="N73" s="25">
        <v>4353894.640677195</v>
      </c>
      <c r="O73" s="27">
        <v>5.9358772446923239E-2</v>
      </c>
      <c r="P73" s="27">
        <v>5.9358772446923239E-2</v>
      </c>
      <c r="Q73" s="27">
        <v>5.9358772446923239E-2</v>
      </c>
      <c r="R73" s="29">
        <v>0.11871754489384646</v>
      </c>
      <c r="S73" s="29">
        <v>0.11871754489384646</v>
      </c>
      <c r="T73" s="29">
        <v>0.11871754489384646</v>
      </c>
    </row>
    <row r="74" spans="1:20" x14ac:dyDescent="0.25">
      <c r="A74" s="24">
        <f t="shared" si="14"/>
        <v>70</v>
      </c>
      <c r="B74" s="12">
        <v>0</v>
      </c>
      <c r="C74" s="12">
        <f t="shared" si="8"/>
        <v>1</v>
      </c>
      <c r="D74" s="25">
        <f t="shared" si="15"/>
        <v>76586.082337992761</v>
      </c>
      <c r="E74" s="25">
        <f t="shared" si="9"/>
        <v>0</v>
      </c>
      <c r="F74" s="6">
        <v>0</v>
      </c>
      <c r="G74" s="37">
        <f t="shared" si="10"/>
        <v>1</v>
      </c>
      <c r="H74" s="27">
        <f t="shared" si="11"/>
        <v>0</v>
      </c>
      <c r="I74" s="7">
        <v>0</v>
      </c>
      <c r="J74" s="38">
        <f t="shared" si="12"/>
        <v>1</v>
      </c>
      <c r="K74" s="29">
        <f t="shared" si="13"/>
        <v>0</v>
      </c>
      <c r="L74" s="25">
        <v>19148.635441903636</v>
      </c>
      <c r="M74" s="25">
        <v>357276.16298988764</v>
      </c>
      <c r="N74" s="25">
        <v>3977086.6878987215</v>
      </c>
      <c r="O74" s="27">
        <v>0</v>
      </c>
      <c r="P74" s="27">
        <v>0</v>
      </c>
      <c r="Q74" s="27">
        <v>0</v>
      </c>
      <c r="R74" s="29">
        <v>0</v>
      </c>
      <c r="S74" s="29">
        <v>0</v>
      </c>
      <c r="T74" s="29">
        <v>0</v>
      </c>
    </row>
    <row r="75" spans="1:20" x14ac:dyDescent="0.25">
      <c r="A75" s="24">
        <f t="shared" si="14"/>
        <v>71</v>
      </c>
      <c r="B75" s="12">
        <v>0</v>
      </c>
      <c r="C75" s="12">
        <f t="shared" si="8"/>
        <v>1</v>
      </c>
      <c r="D75" s="25">
        <f t="shared" si="15"/>
        <v>76586.082337992761</v>
      </c>
      <c r="E75" s="25">
        <f t="shared" si="9"/>
        <v>0</v>
      </c>
      <c r="F75" s="6">
        <v>0</v>
      </c>
      <c r="G75" s="37">
        <f t="shared" si="10"/>
        <v>1</v>
      </c>
      <c r="H75" s="27">
        <f t="shared" si="11"/>
        <v>0</v>
      </c>
      <c r="I75" s="7">
        <v>0</v>
      </c>
      <c r="J75" s="38">
        <f t="shared" si="12"/>
        <v>1</v>
      </c>
      <c r="K75" s="29">
        <f t="shared" si="13"/>
        <v>0</v>
      </c>
      <c r="L75" s="25">
        <v>18773.172001866311</v>
      </c>
      <c r="M75" s="25">
        <v>338127.52754798403</v>
      </c>
      <c r="N75" s="25">
        <v>3619810.5249088337</v>
      </c>
      <c r="O75" s="27">
        <v>0</v>
      </c>
      <c r="P75" s="27">
        <v>0</v>
      </c>
      <c r="Q75" s="27">
        <v>0</v>
      </c>
      <c r="R75" s="29">
        <v>0</v>
      </c>
      <c r="S75" s="29">
        <v>0</v>
      </c>
      <c r="T75" s="29">
        <v>0</v>
      </c>
    </row>
    <row r="76" spans="1:20" x14ac:dyDescent="0.25">
      <c r="A76" s="24">
        <f t="shared" si="14"/>
        <v>72</v>
      </c>
      <c r="B76" s="12">
        <v>0</v>
      </c>
      <c r="C76" s="12">
        <f t="shared" si="8"/>
        <v>1</v>
      </c>
      <c r="D76" s="25">
        <f t="shared" si="15"/>
        <v>76586.082337992761</v>
      </c>
      <c r="E76" s="25">
        <f t="shared" si="9"/>
        <v>0</v>
      </c>
      <c r="F76" s="6">
        <v>0</v>
      </c>
      <c r="G76" s="37">
        <f t="shared" si="10"/>
        <v>1</v>
      </c>
      <c r="H76" s="27">
        <f t="shared" si="11"/>
        <v>0</v>
      </c>
      <c r="I76" s="7">
        <v>0</v>
      </c>
      <c r="J76" s="38">
        <f t="shared" si="12"/>
        <v>1</v>
      </c>
      <c r="K76" s="29">
        <f t="shared" si="13"/>
        <v>0</v>
      </c>
      <c r="L76" s="25">
        <v>18405.070590065006</v>
      </c>
      <c r="M76" s="25">
        <v>319354.3555461177</v>
      </c>
      <c r="N76" s="25">
        <v>3281682.9973608498</v>
      </c>
      <c r="O76" s="27">
        <v>0</v>
      </c>
      <c r="P76" s="27">
        <v>0</v>
      </c>
      <c r="Q76" s="27">
        <v>0</v>
      </c>
      <c r="R76" s="29">
        <v>0</v>
      </c>
      <c r="S76" s="29">
        <v>0</v>
      </c>
      <c r="T76" s="29">
        <v>0</v>
      </c>
    </row>
    <row r="77" spans="1:20" x14ac:dyDescent="0.25">
      <c r="A77" s="24">
        <f t="shared" si="14"/>
        <v>73</v>
      </c>
      <c r="B77" s="12">
        <v>0</v>
      </c>
      <c r="C77" s="12">
        <f t="shared" si="8"/>
        <v>1</v>
      </c>
      <c r="D77" s="25">
        <f t="shared" si="15"/>
        <v>76586.082337992761</v>
      </c>
      <c r="E77" s="25">
        <f t="shared" si="9"/>
        <v>0</v>
      </c>
      <c r="F77" s="6">
        <v>0</v>
      </c>
      <c r="G77" s="37">
        <f t="shared" si="10"/>
        <v>1</v>
      </c>
      <c r="H77" s="27">
        <f t="shared" si="11"/>
        <v>0</v>
      </c>
      <c r="I77" s="7">
        <v>0</v>
      </c>
      <c r="J77" s="38">
        <f t="shared" si="12"/>
        <v>1</v>
      </c>
      <c r="K77" s="29">
        <f t="shared" si="13"/>
        <v>0</v>
      </c>
      <c r="L77" s="25">
        <v>18044.186853004911</v>
      </c>
      <c r="M77" s="25">
        <v>300949.28495605272</v>
      </c>
      <c r="N77" s="25">
        <v>2962328.641814732</v>
      </c>
      <c r="O77" s="27">
        <v>0</v>
      </c>
      <c r="P77" s="27">
        <v>0</v>
      </c>
      <c r="Q77" s="27">
        <v>0</v>
      </c>
      <c r="R77" s="29">
        <v>0</v>
      </c>
      <c r="S77" s="29">
        <v>0</v>
      </c>
      <c r="T77" s="29">
        <v>0</v>
      </c>
    </row>
    <row r="78" spans="1:20" x14ac:dyDescent="0.25">
      <c r="A78" s="24">
        <f t="shared" si="14"/>
        <v>74</v>
      </c>
      <c r="B78" s="12">
        <v>0</v>
      </c>
      <c r="C78" s="12">
        <f t="shared" si="8"/>
        <v>1</v>
      </c>
      <c r="D78" s="25">
        <f t="shared" si="15"/>
        <v>76586.082337992761</v>
      </c>
      <c r="E78" s="25">
        <f t="shared" si="9"/>
        <v>0</v>
      </c>
      <c r="F78" s="6">
        <v>0</v>
      </c>
      <c r="G78" s="37">
        <f t="shared" si="10"/>
        <v>1</v>
      </c>
      <c r="H78" s="27">
        <f t="shared" si="11"/>
        <v>0</v>
      </c>
      <c r="I78" s="7">
        <v>0</v>
      </c>
      <c r="J78" s="38">
        <f t="shared" si="12"/>
        <v>1</v>
      </c>
      <c r="K78" s="29">
        <f t="shared" si="13"/>
        <v>0</v>
      </c>
      <c r="L78" s="25">
        <v>17690.379267651875</v>
      </c>
      <c r="M78" s="25">
        <v>282905.09810304781</v>
      </c>
      <c r="N78" s="25">
        <v>2661379.3568586791</v>
      </c>
      <c r="O78" s="27">
        <v>0</v>
      </c>
      <c r="P78" s="27">
        <v>0</v>
      </c>
      <c r="Q78" s="27">
        <v>0</v>
      </c>
      <c r="R78" s="29">
        <v>0</v>
      </c>
      <c r="S78" s="29">
        <v>0</v>
      </c>
      <c r="T78" s="29">
        <v>0</v>
      </c>
    </row>
    <row r="79" spans="1:20" x14ac:dyDescent="0.25">
      <c r="A79" s="24">
        <f t="shared" si="14"/>
        <v>75</v>
      </c>
      <c r="B79" s="12">
        <v>0</v>
      </c>
      <c r="C79" s="12">
        <f t="shared" si="8"/>
        <v>1</v>
      </c>
      <c r="D79" s="25">
        <f t="shared" si="15"/>
        <v>76586.082337992761</v>
      </c>
      <c r="E79" s="25">
        <f t="shared" si="9"/>
        <v>0</v>
      </c>
      <c r="F79" s="6">
        <v>0</v>
      </c>
      <c r="G79" s="37">
        <f t="shared" si="10"/>
        <v>1</v>
      </c>
      <c r="H79" s="27">
        <f t="shared" si="11"/>
        <v>0</v>
      </c>
      <c r="I79" s="7">
        <v>0</v>
      </c>
      <c r="J79" s="38">
        <f t="shared" si="12"/>
        <v>1</v>
      </c>
      <c r="K79" s="29">
        <f t="shared" si="13"/>
        <v>0</v>
      </c>
      <c r="L79" s="25">
        <v>17343.509085933212</v>
      </c>
      <c r="M79" s="25">
        <v>265214.71883539588</v>
      </c>
      <c r="N79" s="25">
        <v>2378474.2587556313</v>
      </c>
      <c r="O79" s="27">
        <v>0</v>
      </c>
      <c r="P79" s="27">
        <v>0</v>
      </c>
      <c r="Q79" s="27">
        <v>0</v>
      </c>
      <c r="R79" s="29">
        <v>0</v>
      </c>
      <c r="S79" s="29">
        <v>0</v>
      </c>
      <c r="T79" s="29">
        <v>0</v>
      </c>
    </row>
    <row r="80" spans="1:20" x14ac:dyDescent="0.25">
      <c r="A80" s="24">
        <f t="shared" si="14"/>
        <v>76</v>
      </c>
      <c r="B80" s="12">
        <v>0</v>
      </c>
      <c r="C80" s="12">
        <f t="shared" si="8"/>
        <v>1</v>
      </c>
      <c r="D80" s="25">
        <f t="shared" si="15"/>
        <v>76586.082337992761</v>
      </c>
      <c r="E80" s="25">
        <f t="shared" si="9"/>
        <v>0</v>
      </c>
      <c r="F80" s="6">
        <v>0</v>
      </c>
      <c r="G80" s="37">
        <f t="shared" si="10"/>
        <v>1</v>
      </c>
      <c r="H80" s="27">
        <f t="shared" si="11"/>
        <v>0</v>
      </c>
      <c r="I80" s="7">
        <v>0</v>
      </c>
      <c r="J80" s="38">
        <f t="shared" si="12"/>
        <v>1</v>
      </c>
      <c r="K80" s="29">
        <f t="shared" si="13"/>
        <v>0</v>
      </c>
      <c r="L80" s="25">
        <v>17003.440280326678</v>
      </c>
      <c r="M80" s="25">
        <v>247871.20974946269</v>
      </c>
      <c r="N80" s="25">
        <v>2113259.5399202355</v>
      </c>
      <c r="O80" s="27">
        <v>0</v>
      </c>
      <c r="P80" s="27">
        <v>0</v>
      </c>
      <c r="Q80" s="27">
        <v>0</v>
      </c>
      <c r="R80" s="29">
        <v>0</v>
      </c>
      <c r="S80" s="29">
        <v>0</v>
      </c>
      <c r="T80" s="29">
        <v>0</v>
      </c>
    </row>
    <row r="81" spans="1:20" x14ac:dyDescent="0.25">
      <c r="A81" s="24">
        <f t="shared" si="14"/>
        <v>77</v>
      </c>
      <c r="B81" s="12">
        <v>0</v>
      </c>
      <c r="C81" s="12">
        <f t="shared" si="8"/>
        <v>1</v>
      </c>
      <c r="D81" s="25">
        <f t="shared" si="15"/>
        <v>76586.082337992761</v>
      </c>
      <c r="E81" s="25">
        <f t="shared" si="9"/>
        <v>0</v>
      </c>
      <c r="F81" s="6">
        <v>0</v>
      </c>
      <c r="G81" s="37">
        <f t="shared" si="10"/>
        <v>1</v>
      </c>
      <c r="H81" s="27">
        <f t="shared" si="11"/>
        <v>0</v>
      </c>
      <c r="I81" s="7">
        <v>0</v>
      </c>
      <c r="J81" s="38">
        <f t="shared" si="12"/>
        <v>1</v>
      </c>
      <c r="K81" s="29">
        <f t="shared" si="13"/>
        <v>0</v>
      </c>
      <c r="L81" s="25">
        <v>16670.039490516348</v>
      </c>
      <c r="M81" s="25">
        <v>230867.76946913594</v>
      </c>
      <c r="N81" s="25">
        <v>1865388.330170773</v>
      </c>
      <c r="O81" s="27">
        <v>0</v>
      </c>
      <c r="P81" s="27">
        <v>0</v>
      </c>
      <c r="Q81" s="27">
        <v>0</v>
      </c>
      <c r="R81" s="29">
        <v>0</v>
      </c>
      <c r="S81" s="29">
        <v>0</v>
      </c>
      <c r="T81" s="29">
        <v>0</v>
      </c>
    </row>
    <row r="82" spans="1:20" x14ac:dyDescent="0.25">
      <c r="A82" s="24">
        <f t="shared" si="14"/>
        <v>78</v>
      </c>
      <c r="B82" s="12">
        <v>0</v>
      </c>
      <c r="C82" s="12">
        <f t="shared" si="8"/>
        <v>1</v>
      </c>
      <c r="D82" s="25">
        <f t="shared" si="15"/>
        <v>76586.082337992761</v>
      </c>
      <c r="E82" s="25">
        <f t="shared" si="9"/>
        <v>0</v>
      </c>
      <c r="F82" s="6">
        <v>0</v>
      </c>
      <c r="G82" s="37">
        <f t="shared" si="10"/>
        <v>1</v>
      </c>
      <c r="H82" s="27">
        <f t="shared" si="11"/>
        <v>0</v>
      </c>
      <c r="I82" s="7">
        <v>0</v>
      </c>
      <c r="J82" s="38">
        <f t="shared" si="12"/>
        <v>1</v>
      </c>
      <c r="K82" s="29">
        <f t="shared" si="13"/>
        <v>0</v>
      </c>
      <c r="L82" s="25">
        <v>16343.175971094457</v>
      </c>
      <c r="M82" s="25">
        <v>214197.72997861964</v>
      </c>
      <c r="N82" s="25">
        <v>1634520.5607016371</v>
      </c>
      <c r="O82" s="27">
        <v>0</v>
      </c>
      <c r="P82" s="27">
        <v>0</v>
      </c>
      <c r="Q82" s="27">
        <v>0</v>
      </c>
      <c r="R82" s="29">
        <v>0</v>
      </c>
      <c r="S82" s="29">
        <v>0</v>
      </c>
      <c r="T82" s="29">
        <v>0</v>
      </c>
    </row>
    <row r="83" spans="1:20" x14ac:dyDescent="0.25">
      <c r="A83" s="24">
        <f t="shared" si="14"/>
        <v>79</v>
      </c>
      <c r="B83" s="12">
        <v>0</v>
      </c>
      <c r="C83" s="12">
        <f t="shared" si="8"/>
        <v>1</v>
      </c>
      <c r="D83" s="25">
        <f t="shared" si="15"/>
        <v>76586.082337992761</v>
      </c>
      <c r="E83" s="25">
        <f t="shared" si="9"/>
        <v>0</v>
      </c>
      <c r="F83" s="6">
        <v>0</v>
      </c>
      <c r="G83" s="37">
        <f t="shared" si="10"/>
        <v>1</v>
      </c>
      <c r="H83" s="27">
        <f t="shared" si="11"/>
        <v>0</v>
      </c>
      <c r="I83" s="7">
        <v>0</v>
      </c>
      <c r="J83" s="38">
        <f t="shared" si="12"/>
        <v>1</v>
      </c>
      <c r="K83" s="29">
        <f t="shared" si="13"/>
        <v>0</v>
      </c>
      <c r="L83" s="25">
        <v>16022.721540288683</v>
      </c>
      <c r="M83" s="25">
        <v>197854.55400752518</v>
      </c>
      <c r="N83" s="25">
        <v>1420322.8307230175</v>
      </c>
      <c r="O83" s="27">
        <v>0</v>
      </c>
      <c r="P83" s="27">
        <v>0</v>
      </c>
      <c r="Q83" s="27">
        <v>0</v>
      </c>
      <c r="R83" s="29">
        <v>0</v>
      </c>
      <c r="S83" s="29">
        <v>0</v>
      </c>
      <c r="T83" s="29">
        <v>0</v>
      </c>
    </row>
    <row r="84" spans="1:20" x14ac:dyDescent="0.25">
      <c r="A84" s="24">
        <f t="shared" si="14"/>
        <v>80</v>
      </c>
      <c r="B84" s="12">
        <v>0</v>
      </c>
      <c r="C84" s="12">
        <f t="shared" si="8"/>
        <v>1</v>
      </c>
      <c r="D84" s="25">
        <f t="shared" si="15"/>
        <v>76586.082337992761</v>
      </c>
      <c r="E84" s="25">
        <f t="shared" si="9"/>
        <v>0</v>
      </c>
      <c r="F84" s="6">
        <v>0</v>
      </c>
      <c r="G84" s="37">
        <f t="shared" si="10"/>
        <v>1</v>
      </c>
      <c r="H84" s="27">
        <f t="shared" si="11"/>
        <v>0</v>
      </c>
      <c r="I84" s="7">
        <v>0</v>
      </c>
      <c r="J84" s="38">
        <f t="shared" si="12"/>
        <v>1</v>
      </c>
      <c r="K84" s="29">
        <f t="shared" si="13"/>
        <v>0</v>
      </c>
      <c r="L84" s="25">
        <v>15708.550529694789</v>
      </c>
      <c r="M84" s="25">
        <v>181831.83246723647</v>
      </c>
      <c r="N84" s="25">
        <v>1222468.2767154924</v>
      </c>
      <c r="O84" s="27">
        <v>0</v>
      </c>
      <c r="P84" s="27">
        <v>0</v>
      </c>
      <c r="Q84" s="27">
        <v>0</v>
      </c>
      <c r="R84" s="29">
        <v>0</v>
      </c>
      <c r="S84" s="29">
        <v>0</v>
      </c>
      <c r="T84" s="29">
        <v>0</v>
      </c>
    </row>
    <row r="85" spans="1:20" x14ac:dyDescent="0.25">
      <c r="A85" s="24">
        <f t="shared" si="14"/>
        <v>81</v>
      </c>
      <c r="B85" s="12">
        <v>0</v>
      </c>
      <c r="C85" s="12">
        <f t="shared" si="8"/>
        <v>1</v>
      </c>
      <c r="D85" s="25">
        <f t="shared" si="15"/>
        <v>76586.082337992761</v>
      </c>
      <c r="E85" s="25">
        <f t="shared" si="9"/>
        <v>0</v>
      </c>
      <c r="F85" s="6">
        <v>0</v>
      </c>
      <c r="G85" s="37">
        <f t="shared" si="10"/>
        <v>1</v>
      </c>
      <c r="H85" s="27">
        <f t="shared" si="11"/>
        <v>0</v>
      </c>
      <c r="I85" s="7">
        <v>0</v>
      </c>
      <c r="J85" s="38">
        <f t="shared" si="12"/>
        <v>1</v>
      </c>
      <c r="K85" s="29">
        <f t="shared" si="13"/>
        <v>0</v>
      </c>
      <c r="L85" s="25">
        <v>15400.539734994889</v>
      </c>
      <c r="M85" s="25">
        <v>166123.2819375417</v>
      </c>
      <c r="N85" s="25">
        <v>1040636.4442482558</v>
      </c>
      <c r="O85" s="27">
        <v>0</v>
      </c>
      <c r="P85" s="27">
        <v>0</v>
      </c>
      <c r="Q85" s="27">
        <v>0</v>
      </c>
      <c r="R85" s="29">
        <v>0</v>
      </c>
      <c r="S85" s="29">
        <v>0</v>
      </c>
      <c r="T85" s="29">
        <v>0</v>
      </c>
    </row>
    <row r="86" spans="1:20" x14ac:dyDescent="0.25">
      <c r="A86" s="24">
        <f t="shared" si="14"/>
        <v>82</v>
      </c>
      <c r="B86" s="12">
        <v>0</v>
      </c>
      <c r="C86" s="12">
        <f t="shared" si="8"/>
        <v>1</v>
      </c>
      <c r="D86" s="25">
        <f t="shared" si="15"/>
        <v>76586.082337992761</v>
      </c>
      <c r="E86" s="25">
        <f t="shared" si="9"/>
        <v>0</v>
      </c>
      <c r="F86" s="6">
        <v>0</v>
      </c>
      <c r="G86" s="37">
        <f t="shared" si="10"/>
        <v>1</v>
      </c>
      <c r="H86" s="27">
        <f t="shared" si="11"/>
        <v>0</v>
      </c>
      <c r="I86" s="7">
        <v>0</v>
      </c>
      <c r="J86" s="38">
        <f t="shared" si="12"/>
        <v>1</v>
      </c>
      <c r="K86" s="29">
        <f t="shared" si="13"/>
        <v>0</v>
      </c>
      <c r="L86" s="25">
        <v>15098.56836764205</v>
      </c>
      <c r="M86" s="25">
        <v>150722.74220254683</v>
      </c>
      <c r="N86" s="25">
        <v>874513.16231071413</v>
      </c>
      <c r="O86" s="27">
        <v>0</v>
      </c>
      <c r="P86" s="27">
        <v>0</v>
      </c>
      <c r="Q86" s="27">
        <v>0</v>
      </c>
      <c r="R86" s="29">
        <v>0</v>
      </c>
      <c r="S86" s="29">
        <v>0</v>
      </c>
      <c r="T86" s="29">
        <v>0</v>
      </c>
    </row>
    <row r="87" spans="1:20" x14ac:dyDescent="0.25">
      <c r="A87" s="24">
        <f t="shared" si="14"/>
        <v>83</v>
      </c>
      <c r="B87" s="12">
        <v>0</v>
      </c>
      <c r="C87" s="12">
        <f t="shared" si="8"/>
        <v>1</v>
      </c>
      <c r="D87" s="25">
        <f t="shared" si="15"/>
        <v>76586.082337992761</v>
      </c>
      <c r="E87" s="25">
        <f t="shared" si="9"/>
        <v>0</v>
      </c>
      <c r="F87" s="6">
        <v>0</v>
      </c>
      <c r="G87" s="37">
        <f t="shared" si="10"/>
        <v>1</v>
      </c>
      <c r="H87" s="27">
        <f t="shared" si="11"/>
        <v>0</v>
      </c>
      <c r="I87" s="7">
        <v>0</v>
      </c>
      <c r="J87" s="38">
        <f t="shared" si="12"/>
        <v>1</v>
      </c>
      <c r="K87" s="29">
        <f t="shared" si="13"/>
        <v>0</v>
      </c>
      <c r="L87" s="25">
        <v>14802.518007492203</v>
      </c>
      <c r="M87" s="25">
        <v>135624.17383490477</v>
      </c>
      <c r="N87" s="25">
        <v>723790.42010816734</v>
      </c>
      <c r="O87" s="27">
        <v>0</v>
      </c>
      <c r="P87" s="27">
        <v>0</v>
      </c>
      <c r="Q87" s="27">
        <v>0</v>
      </c>
      <c r="R87" s="29">
        <v>0</v>
      </c>
      <c r="S87" s="29">
        <v>0</v>
      </c>
      <c r="T87" s="29">
        <v>0</v>
      </c>
    </row>
    <row r="88" spans="1:20" x14ac:dyDescent="0.25">
      <c r="A88" s="24">
        <f t="shared" si="14"/>
        <v>84</v>
      </c>
      <c r="B88" s="12">
        <v>0</v>
      </c>
      <c r="C88" s="12">
        <f t="shared" si="8"/>
        <v>1</v>
      </c>
      <c r="D88" s="25">
        <f t="shared" si="15"/>
        <v>76586.082337992761</v>
      </c>
      <c r="E88" s="25">
        <f t="shared" si="9"/>
        <v>0</v>
      </c>
      <c r="F88" s="6">
        <v>0</v>
      </c>
      <c r="G88" s="37">
        <f t="shared" si="10"/>
        <v>1</v>
      </c>
      <c r="H88" s="27">
        <f t="shared" si="11"/>
        <v>0</v>
      </c>
      <c r="I88" s="7">
        <v>0</v>
      </c>
      <c r="J88" s="38">
        <f t="shared" si="12"/>
        <v>1</v>
      </c>
      <c r="K88" s="29">
        <f t="shared" si="13"/>
        <v>0</v>
      </c>
      <c r="L88" s="25">
        <v>14512.272556364906</v>
      </c>
      <c r="M88" s="25">
        <v>120821.65582741259</v>
      </c>
      <c r="N88" s="25">
        <v>588166.24627326254</v>
      </c>
      <c r="O88" s="27">
        <v>0</v>
      </c>
      <c r="P88" s="27">
        <v>0</v>
      </c>
      <c r="Q88" s="27">
        <v>0</v>
      </c>
      <c r="R88" s="29">
        <v>0</v>
      </c>
      <c r="S88" s="29">
        <v>0</v>
      </c>
      <c r="T88" s="29">
        <v>0</v>
      </c>
    </row>
    <row r="89" spans="1:20" x14ac:dyDescent="0.25">
      <c r="A89" s="24">
        <f t="shared" si="14"/>
        <v>85</v>
      </c>
      <c r="B89" s="12">
        <v>0</v>
      </c>
      <c r="C89" s="12">
        <f t="shared" si="8"/>
        <v>1</v>
      </c>
      <c r="D89" s="25">
        <f t="shared" si="15"/>
        <v>76586.082337992761</v>
      </c>
      <c r="E89" s="25">
        <f t="shared" si="9"/>
        <v>0</v>
      </c>
      <c r="F89" s="6">
        <v>0</v>
      </c>
      <c r="G89" s="37">
        <f t="shared" si="10"/>
        <v>1</v>
      </c>
      <c r="H89" s="27">
        <f t="shared" si="11"/>
        <v>0</v>
      </c>
      <c r="I89" s="7">
        <v>0</v>
      </c>
      <c r="J89" s="38">
        <f t="shared" si="12"/>
        <v>1</v>
      </c>
      <c r="K89" s="29">
        <f t="shared" si="13"/>
        <v>0</v>
      </c>
      <c r="L89" s="25">
        <v>14227.718192514614</v>
      </c>
      <c r="M89" s="25">
        <v>106309.38327104766</v>
      </c>
      <c r="N89" s="25">
        <v>467344.59044584993</v>
      </c>
      <c r="O89" s="27">
        <v>0</v>
      </c>
      <c r="P89" s="27">
        <v>0</v>
      </c>
      <c r="Q89" s="27">
        <v>0</v>
      </c>
      <c r="R89" s="29">
        <v>0</v>
      </c>
      <c r="S89" s="29">
        <v>0</v>
      </c>
      <c r="T89" s="29">
        <v>0</v>
      </c>
    </row>
    <row r="90" spans="1:20" x14ac:dyDescent="0.25">
      <c r="A90" s="24">
        <f t="shared" si="14"/>
        <v>86</v>
      </c>
      <c r="B90" s="12">
        <v>0</v>
      </c>
      <c r="C90" s="12">
        <f t="shared" si="8"/>
        <v>1</v>
      </c>
      <c r="D90" s="25">
        <f t="shared" si="15"/>
        <v>76586.082337992761</v>
      </c>
      <c r="E90" s="25">
        <f t="shared" si="9"/>
        <v>0</v>
      </c>
      <c r="F90" s="6">
        <v>0</v>
      </c>
      <c r="G90" s="37">
        <f t="shared" si="10"/>
        <v>1</v>
      </c>
      <c r="H90" s="27">
        <f t="shared" si="11"/>
        <v>0</v>
      </c>
      <c r="I90" s="7">
        <v>0</v>
      </c>
      <c r="J90" s="38">
        <f t="shared" si="12"/>
        <v>1</v>
      </c>
      <c r="K90" s="29">
        <f t="shared" si="13"/>
        <v>0</v>
      </c>
      <c r="L90" s="25">
        <v>13948.743325994719</v>
      </c>
      <c r="M90" s="25">
        <v>92081.665078533042</v>
      </c>
      <c r="N90" s="25">
        <v>361035.20717480226</v>
      </c>
      <c r="O90" s="27">
        <v>0</v>
      </c>
      <c r="P90" s="27">
        <v>0</v>
      </c>
      <c r="Q90" s="27">
        <v>0</v>
      </c>
      <c r="R90" s="29">
        <v>0</v>
      </c>
      <c r="S90" s="29">
        <v>0</v>
      </c>
      <c r="T90" s="29">
        <v>0</v>
      </c>
    </row>
    <row r="91" spans="1:20" x14ac:dyDescent="0.25">
      <c r="A91" s="24">
        <f t="shared" si="14"/>
        <v>87</v>
      </c>
      <c r="B91" s="12">
        <v>0</v>
      </c>
      <c r="C91" s="12">
        <f t="shared" si="8"/>
        <v>1</v>
      </c>
      <c r="D91" s="25">
        <f t="shared" si="15"/>
        <v>76586.082337992761</v>
      </c>
      <c r="E91" s="25">
        <f t="shared" si="9"/>
        <v>0</v>
      </c>
      <c r="F91" s="6">
        <v>0</v>
      </c>
      <c r="G91" s="37">
        <f t="shared" si="10"/>
        <v>1</v>
      </c>
      <c r="H91" s="27">
        <f t="shared" si="11"/>
        <v>0</v>
      </c>
      <c r="I91" s="7">
        <v>0</v>
      </c>
      <c r="J91" s="38">
        <f t="shared" si="12"/>
        <v>1</v>
      </c>
      <c r="K91" s="29">
        <f t="shared" si="13"/>
        <v>0</v>
      </c>
      <c r="L91" s="25">
        <v>13675.238554896783</v>
      </c>
      <c r="M91" s="25">
        <v>78132.921752538328</v>
      </c>
      <c r="N91" s="25">
        <v>268953.5420962692</v>
      </c>
      <c r="O91" s="27">
        <v>0</v>
      </c>
      <c r="P91" s="27">
        <v>0</v>
      </c>
      <c r="Q91" s="27">
        <v>0</v>
      </c>
      <c r="R91" s="29">
        <v>0</v>
      </c>
      <c r="S91" s="29">
        <v>0</v>
      </c>
      <c r="T91" s="29">
        <v>0</v>
      </c>
    </row>
    <row r="92" spans="1:20" x14ac:dyDescent="0.25">
      <c r="A92" s="24">
        <f t="shared" si="14"/>
        <v>88</v>
      </c>
      <c r="B92" s="12">
        <v>0</v>
      </c>
      <c r="C92" s="12">
        <f t="shared" si="8"/>
        <v>1</v>
      </c>
      <c r="D92" s="25">
        <f t="shared" si="15"/>
        <v>76586.082337992761</v>
      </c>
      <c r="E92" s="25">
        <f t="shared" si="9"/>
        <v>0</v>
      </c>
      <c r="F92" s="6">
        <v>0</v>
      </c>
      <c r="G92" s="37">
        <f t="shared" si="10"/>
        <v>1</v>
      </c>
      <c r="H92" s="27">
        <f t="shared" si="11"/>
        <v>0</v>
      </c>
      <c r="I92" s="7">
        <v>0</v>
      </c>
      <c r="J92" s="38">
        <f t="shared" si="12"/>
        <v>1</v>
      </c>
      <c r="K92" s="29">
        <f t="shared" si="13"/>
        <v>0</v>
      </c>
      <c r="L92" s="25">
        <v>13407.096622447827</v>
      </c>
      <c r="M92" s="25">
        <v>64457.683197641541</v>
      </c>
      <c r="N92" s="25">
        <v>190820.62034373084</v>
      </c>
      <c r="O92" s="27">
        <v>0</v>
      </c>
      <c r="P92" s="27">
        <v>0</v>
      </c>
      <c r="Q92" s="27">
        <v>0</v>
      </c>
      <c r="R92" s="29">
        <v>0</v>
      </c>
      <c r="S92" s="29">
        <v>0</v>
      </c>
      <c r="T92" s="29">
        <v>0</v>
      </c>
    </row>
    <row r="93" spans="1:20" x14ac:dyDescent="0.25">
      <c r="A93" s="24">
        <f t="shared" si="14"/>
        <v>89</v>
      </c>
      <c r="B93" s="12">
        <v>0</v>
      </c>
      <c r="C93" s="12">
        <f t="shared" si="8"/>
        <v>1</v>
      </c>
      <c r="D93" s="25">
        <f t="shared" si="15"/>
        <v>76586.082337992761</v>
      </c>
      <c r="E93" s="25">
        <f t="shared" si="9"/>
        <v>0</v>
      </c>
      <c r="F93" s="6">
        <v>0</v>
      </c>
      <c r="G93" s="37">
        <f t="shared" si="10"/>
        <v>1</v>
      </c>
      <c r="H93" s="27">
        <f t="shared" si="11"/>
        <v>0</v>
      </c>
      <c r="I93" s="7">
        <v>0</v>
      </c>
      <c r="J93" s="38">
        <f t="shared" si="12"/>
        <v>1</v>
      </c>
      <c r="K93" s="29">
        <f t="shared" si="13"/>
        <v>0</v>
      </c>
      <c r="L93" s="25">
        <v>13144.212374948847</v>
      </c>
      <c r="M93" s="25">
        <v>51050.586575193716</v>
      </c>
      <c r="N93" s="25">
        <v>126362.9371460893</v>
      </c>
      <c r="O93" s="27">
        <v>0</v>
      </c>
      <c r="P93" s="27">
        <v>0</v>
      </c>
      <c r="Q93" s="27">
        <v>0</v>
      </c>
      <c r="R93" s="29">
        <v>0</v>
      </c>
      <c r="S93" s="29">
        <v>0</v>
      </c>
      <c r="T93" s="29">
        <v>0</v>
      </c>
    </row>
    <row r="94" spans="1:20" x14ac:dyDescent="0.25">
      <c r="A94" s="24">
        <f t="shared" si="14"/>
        <v>90</v>
      </c>
      <c r="B94" s="12">
        <v>0</v>
      </c>
      <c r="C94" s="12">
        <f t="shared" si="8"/>
        <v>1</v>
      </c>
      <c r="D94" s="25">
        <f t="shared" si="15"/>
        <v>76586.082337992761</v>
      </c>
      <c r="E94" s="25">
        <f t="shared" si="9"/>
        <v>0</v>
      </c>
      <c r="F94" s="6">
        <v>0</v>
      </c>
      <c r="G94" s="37">
        <f t="shared" si="10"/>
        <v>1</v>
      </c>
      <c r="H94" s="27">
        <f t="shared" si="11"/>
        <v>0</v>
      </c>
      <c r="I94" s="7">
        <v>0</v>
      </c>
      <c r="J94" s="38">
        <f t="shared" si="12"/>
        <v>1</v>
      </c>
      <c r="K94" s="29">
        <f t="shared" si="13"/>
        <v>0</v>
      </c>
      <c r="L94" s="25">
        <v>12886.482720538086</v>
      </c>
      <c r="M94" s="25">
        <v>37906.374200244871</v>
      </c>
      <c r="N94" s="25">
        <v>75312.350570895593</v>
      </c>
      <c r="O94" s="27">
        <v>0</v>
      </c>
      <c r="P94" s="27">
        <v>0</v>
      </c>
      <c r="Q94" s="27">
        <v>0</v>
      </c>
      <c r="R94" s="29">
        <v>0</v>
      </c>
      <c r="S94" s="29">
        <v>0</v>
      </c>
      <c r="T94" s="29">
        <v>0</v>
      </c>
    </row>
    <row r="95" spans="1:20" x14ac:dyDescent="0.25">
      <c r="A95" s="24">
        <f t="shared" si="14"/>
        <v>91</v>
      </c>
      <c r="B95" s="12">
        <v>0</v>
      </c>
      <c r="C95" s="12">
        <f t="shared" si="8"/>
        <v>1</v>
      </c>
      <c r="D95" s="25">
        <f t="shared" si="15"/>
        <v>76586.082337992761</v>
      </c>
      <c r="E95" s="25">
        <f t="shared" si="9"/>
        <v>0</v>
      </c>
      <c r="F95" s="6">
        <v>0</v>
      </c>
      <c r="G95" s="37">
        <f t="shared" si="10"/>
        <v>1</v>
      </c>
      <c r="H95" s="27">
        <f t="shared" si="11"/>
        <v>0</v>
      </c>
      <c r="I95" s="7">
        <v>0</v>
      </c>
      <c r="J95" s="38">
        <f t="shared" si="12"/>
        <v>1</v>
      </c>
      <c r="K95" s="29">
        <f t="shared" si="13"/>
        <v>0</v>
      </c>
      <c r="L95" s="25">
        <v>12633.806588762831</v>
      </c>
      <c r="M95" s="25">
        <v>25019.891479706781</v>
      </c>
      <c r="N95" s="25">
        <v>37405.976370650729</v>
      </c>
      <c r="O95" s="27">
        <v>0</v>
      </c>
      <c r="P95" s="27">
        <v>0</v>
      </c>
      <c r="Q95" s="27">
        <v>0</v>
      </c>
      <c r="R95" s="29">
        <v>0</v>
      </c>
      <c r="S95" s="29">
        <v>0</v>
      </c>
      <c r="T95" s="29">
        <v>0</v>
      </c>
    </row>
    <row r="96" spans="1:20" x14ac:dyDescent="0.25">
      <c r="A96" s="24">
        <f t="shared" si="14"/>
        <v>92</v>
      </c>
      <c r="B96" s="12">
        <v>0</v>
      </c>
      <c r="C96" s="12">
        <f t="shared" si="8"/>
        <v>1</v>
      </c>
      <c r="D96" s="25">
        <f t="shared" si="15"/>
        <v>76586.082337992761</v>
      </c>
      <c r="E96" s="25">
        <f t="shared" si="9"/>
        <v>76586.082337992761</v>
      </c>
      <c r="F96" s="6">
        <v>0</v>
      </c>
      <c r="G96" s="37">
        <f t="shared" si="10"/>
        <v>1</v>
      </c>
      <c r="H96" s="27">
        <f t="shared" si="11"/>
        <v>0</v>
      </c>
      <c r="I96" s="7">
        <v>0</v>
      </c>
      <c r="J96" s="38">
        <f t="shared" si="12"/>
        <v>1</v>
      </c>
      <c r="K96" s="29">
        <f t="shared" si="13"/>
        <v>0</v>
      </c>
      <c r="L96" s="25">
        <v>12386.08489094395</v>
      </c>
      <c r="M96" s="25">
        <v>12386.08489094395</v>
      </c>
      <c r="N96" s="25">
        <v>12386.08489094395</v>
      </c>
      <c r="O96" s="27">
        <v>0</v>
      </c>
      <c r="P96" s="27">
        <v>0</v>
      </c>
      <c r="Q96" s="27">
        <v>0</v>
      </c>
      <c r="R96" s="29">
        <v>0</v>
      </c>
      <c r="S96" s="29">
        <v>0</v>
      </c>
      <c r="T96" s="29">
        <v>0</v>
      </c>
    </row>
  </sheetData>
  <mergeCells count="2">
    <mergeCell ref="A2:E2"/>
    <mergeCell ref="L2:N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9915F-FEAA-4090-B875-4AD3D1F9B828}">
  <sheetPr codeName="Hoja3"/>
  <dimension ref="B1:O24"/>
  <sheetViews>
    <sheetView tabSelected="1" zoomScale="130" zoomScaleNormal="130" workbookViewId="0"/>
  </sheetViews>
  <sheetFormatPr baseColWidth="10" defaultRowHeight="15" x14ac:dyDescent="0.25"/>
  <cols>
    <col min="1" max="1" width="2.85546875" style="1" customWidth="1"/>
    <col min="2" max="2" width="11.42578125" style="1"/>
    <col min="3" max="3" width="11.42578125" style="1" customWidth="1"/>
    <col min="4" max="4" width="15.7109375" style="1" customWidth="1"/>
    <col min="5" max="5" width="14.28515625" style="1" customWidth="1"/>
    <col min="6" max="6" width="13.7109375" style="1" bestFit="1" customWidth="1"/>
    <col min="7" max="8" width="14.28515625" style="1" customWidth="1"/>
    <col min="9" max="9" width="12.85546875" style="1" customWidth="1"/>
    <col min="10" max="10" width="13.28515625" style="1" bestFit="1" customWidth="1"/>
    <col min="11" max="11" width="12.85546875" style="1" customWidth="1"/>
    <col min="12" max="12" width="14.28515625" style="1" customWidth="1"/>
    <col min="13" max="13" width="12.28515625" style="1" customWidth="1"/>
    <col min="14" max="14" width="20.5703125" style="1" customWidth="1"/>
    <col min="15" max="15" width="12.28515625" style="1" bestFit="1" customWidth="1"/>
    <col min="16" max="16384" width="11.42578125" style="1"/>
  </cols>
  <sheetData>
    <row r="1" spans="2:15" x14ac:dyDescent="0.25">
      <c r="I1" s="1" t="s">
        <v>58</v>
      </c>
    </row>
    <row r="2" spans="2:15" ht="15.75" x14ac:dyDescent="0.25">
      <c r="B2" s="4" t="s">
        <v>68</v>
      </c>
      <c r="I2" s="1" t="s">
        <v>59</v>
      </c>
    </row>
    <row r="3" spans="2:15" ht="15.75" thickBot="1" x14ac:dyDescent="0.3">
      <c r="B3" s="2"/>
      <c r="I3" s="1" t="s">
        <v>60</v>
      </c>
    </row>
    <row r="4" spans="2:15" ht="15.75" thickBot="1" x14ac:dyDescent="0.3">
      <c r="B4" s="107" t="s">
        <v>51</v>
      </c>
      <c r="C4" s="107" t="s">
        <v>57</v>
      </c>
      <c r="D4" s="102" t="s">
        <v>52</v>
      </c>
      <c r="E4" s="103"/>
      <c r="F4" s="104"/>
      <c r="G4" s="102" t="s">
        <v>53</v>
      </c>
      <c r="H4" s="103"/>
      <c r="I4" s="104"/>
      <c r="J4" s="107" t="s">
        <v>61</v>
      </c>
      <c r="K4" s="107" t="s">
        <v>62</v>
      </c>
      <c r="L4" s="102" t="s">
        <v>70</v>
      </c>
      <c r="M4" s="103"/>
      <c r="N4" s="104"/>
      <c r="O4" s="105" t="s">
        <v>73</v>
      </c>
    </row>
    <row r="5" spans="2:15" ht="27.75" customHeight="1" thickBot="1" x14ac:dyDescent="0.3">
      <c r="B5" s="108"/>
      <c r="C5" s="108"/>
      <c r="D5" s="61" t="s">
        <v>56</v>
      </c>
      <c r="E5" s="62" t="s">
        <v>55</v>
      </c>
      <c r="F5" s="63" t="s">
        <v>54</v>
      </c>
      <c r="G5" s="64" t="s">
        <v>56</v>
      </c>
      <c r="H5" s="65" t="s">
        <v>55</v>
      </c>
      <c r="I5" s="66" t="s">
        <v>54</v>
      </c>
      <c r="J5" s="108"/>
      <c r="K5" s="108"/>
      <c r="L5" s="64" t="s">
        <v>71</v>
      </c>
      <c r="M5" s="65" t="s">
        <v>74</v>
      </c>
      <c r="N5" s="66" t="s">
        <v>72</v>
      </c>
      <c r="O5" s="106"/>
    </row>
    <row r="6" spans="2:15" x14ac:dyDescent="0.25">
      <c r="B6" s="13" t="s">
        <v>45</v>
      </c>
      <c r="C6" s="83">
        <v>5</v>
      </c>
      <c r="D6" s="54" t="s">
        <v>65</v>
      </c>
      <c r="E6" s="81">
        <v>25000</v>
      </c>
      <c r="F6" s="58" cm="1">
        <f t="array" ref="F6">Seguro_Dotal_Puro(0,E6,C6,"TD_Puebla")</f>
        <v>22248.697665322052</v>
      </c>
      <c r="G6" s="55" t="s">
        <v>66</v>
      </c>
      <c r="H6" s="87">
        <f>E6*0.4</f>
        <v>10000</v>
      </c>
      <c r="I6" s="59" cm="1">
        <f t="array" ref="I6">Seguro_TemporalA(0,H6,C6,"TD_Puebla") + Seguro_TemporalJ(0,H6,C6,"TD_Puebla")</f>
        <v>162.9310183032361</v>
      </c>
      <c r="J6" s="60">
        <f>F6+I6</f>
        <v>22411.628683625288</v>
      </c>
      <c r="K6" s="60" cm="1">
        <f t="array" ref="K6">J6/Anualidad_Temporal(0,1,C6,"TD_Puebla")</f>
        <v>4686.949938158572</v>
      </c>
      <c r="L6" s="75">
        <v>0.03</v>
      </c>
      <c r="M6" s="76">
        <v>0.02</v>
      </c>
      <c r="N6" s="77">
        <v>0.02</v>
      </c>
      <c r="O6" s="70">
        <f>K6/(1-L6-M6-N6)</f>
        <v>5039.7311162995402</v>
      </c>
    </row>
    <row r="7" spans="2:15" x14ac:dyDescent="0.25">
      <c r="B7" s="14" t="s">
        <v>46</v>
      </c>
      <c r="C7" s="83">
        <v>10</v>
      </c>
      <c r="D7" s="54">
        <v>4</v>
      </c>
      <c r="E7" s="81">
        <v>50000</v>
      </c>
      <c r="F7" s="58" cm="1">
        <f t="array" ref="F7">Seguro_Dotal_Puro(0,E7,C7,"TD_Puebla")</f>
        <v>39589.605777253593</v>
      </c>
      <c r="G7" s="55" t="s">
        <v>66</v>
      </c>
      <c r="H7" s="87">
        <f>E7*0.4</f>
        <v>20000</v>
      </c>
      <c r="I7" s="59" cm="1">
        <f t="array" ref="I7">Seguro_TemporalA(0,H7,C7,"TD_Puebla") + Seguro_TemporalJ(0,H7,C7,"TD_Puebla")</f>
        <v>623.75733353297414</v>
      </c>
      <c r="J7" s="60">
        <f t="shared" ref="J7:J10" si="0">F7+I7</f>
        <v>40213.363110786566</v>
      </c>
      <c r="K7" s="60" cm="1">
        <f t="array" ref="K7">J7/Anualidad_Temporal(0,1,C7,"TD_Puebla")</f>
        <v>4454.2833392175107</v>
      </c>
      <c r="L7" s="75">
        <v>0.03</v>
      </c>
      <c r="M7" s="76">
        <v>2.1000000000000001E-2</v>
      </c>
      <c r="N7" s="77">
        <v>0.03</v>
      </c>
      <c r="O7" s="70">
        <f t="shared" ref="O7:O10" si="1">K7/(1-L7-M7-N7)</f>
        <v>4846.880673794898</v>
      </c>
    </row>
    <row r="8" spans="2:15" x14ac:dyDescent="0.25">
      <c r="B8" s="14" t="s">
        <v>47</v>
      </c>
      <c r="C8" s="83">
        <v>20</v>
      </c>
      <c r="D8" s="54" t="s">
        <v>67</v>
      </c>
      <c r="E8" s="81">
        <v>100000</v>
      </c>
      <c r="F8" s="58" cm="1">
        <f t="array" ref="F8">Seguro_Dotal_Puro(0,E8,C8,"TD_Puebla")</f>
        <v>63504.738674989632</v>
      </c>
      <c r="G8" s="55" t="s">
        <v>66</v>
      </c>
      <c r="H8" s="87">
        <f t="shared" ref="H8" si="2">E8*0.4</f>
        <v>40000</v>
      </c>
      <c r="I8" s="59" cm="1">
        <f t="array" ref="I8">Seguro_TemporalA(0,H8,C8,"TD_Puebla") + Seguro_TemporalJ(0,H8,C8,"TD_Puebla")</f>
        <v>1885.6748533448522</v>
      </c>
      <c r="J8" s="60">
        <f t="shared" si="0"/>
        <v>65390.413528334488</v>
      </c>
      <c r="K8" s="60" cm="1">
        <f t="array" ref="K8">J8/Anualidad_Temporal(0,1,C8,"TD_Puebla")</f>
        <v>4034.3663760766062</v>
      </c>
      <c r="L8" s="75">
        <v>0.03</v>
      </c>
      <c r="M8" s="76">
        <v>2.1999999999999999E-2</v>
      </c>
      <c r="N8" s="77">
        <v>0.04</v>
      </c>
      <c r="O8" s="70">
        <f t="shared" si="1"/>
        <v>4443.1347754147646</v>
      </c>
    </row>
    <row r="9" spans="2:15" x14ac:dyDescent="0.25">
      <c r="B9" s="14" t="s">
        <v>48</v>
      </c>
      <c r="C9" s="83">
        <v>5</v>
      </c>
      <c r="D9" s="54" t="s">
        <v>65</v>
      </c>
      <c r="E9" s="81">
        <v>50000</v>
      </c>
      <c r="F9" s="58" cm="1">
        <f t="array" ref="F9">Seguro_Dotal_Puro(0,E9,C9,"TD_Puebla")</f>
        <v>44497.395330644104</v>
      </c>
      <c r="G9" s="55" t="s">
        <v>66</v>
      </c>
      <c r="H9" s="87">
        <f>E9*0.5</f>
        <v>25000</v>
      </c>
      <c r="I9" s="59" cm="1">
        <f t="array" ref="I9">Seguro_TemporalA(0,H9,C9,"TD_Puebla") + Seguro_TemporalJ(0,H9,C9,"TD_Puebla")</f>
        <v>407.32754575809025</v>
      </c>
      <c r="J9" s="60">
        <f t="shared" si="0"/>
        <v>44904.722876402193</v>
      </c>
      <c r="K9" s="60" cm="1">
        <f t="array" ref="K9">J9/Anualidad_Temporal(0,1,C9,"TD_Puebla")</f>
        <v>9390.9367801705084</v>
      </c>
      <c r="L9" s="75">
        <v>0.03</v>
      </c>
      <c r="M9" s="76">
        <v>2.3E-2</v>
      </c>
      <c r="N9" s="77">
        <v>0.02</v>
      </c>
      <c r="O9" s="70">
        <f>K9/(1-L9-M9-N9)</f>
        <v>10130.460388533451</v>
      </c>
    </row>
    <row r="10" spans="2:15" x14ac:dyDescent="0.25">
      <c r="B10" s="14" t="s">
        <v>49</v>
      </c>
      <c r="C10" s="83">
        <v>10</v>
      </c>
      <c r="D10" s="54">
        <v>4</v>
      </c>
      <c r="E10" s="81">
        <v>100000</v>
      </c>
      <c r="F10" s="58" cm="1">
        <f t="array" ref="F10">Seguro_Dotal_Puro(0,E10,C10,"TD_Puebla")</f>
        <v>79179.211554507187</v>
      </c>
      <c r="G10" s="55" t="s">
        <v>66</v>
      </c>
      <c r="H10" s="87">
        <f>E10*0.5</f>
        <v>50000</v>
      </c>
      <c r="I10" s="59" cm="1">
        <f t="array" ref="I10">Seguro_TemporalA(0,H10,C10,"TD_Puebla") + Seguro_TemporalJ(0,H10,C10,"TD_Puebla")</f>
        <v>1559.3933338324355</v>
      </c>
      <c r="J10" s="60">
        <f t="shared" si="0"/>
        <v>80738.604888339629</v>
      </c>
      <c r="K10" s="60" cm="1">
        <f t="array" ref="K10">J10/Anualidad_Temporal(0,1,C10,"TD_Puebla")</f>
        <v>8943.11230809072</v>
      </c>
      <c r="L10" s="75">
        <v>0.03</v>
      </c>
      <c r="M10" s="76">
        <v>2.4E-2</v>
      </c>
      <c r="N10" s="77">
        <v>0.03</v>
      </c>
      <c r="O10" s="70">
        <f t="shared" si="1"/>
        <v>9763.2230437671624</v>
      </c>
    </row>
    <row r="11" spans="2:15" ht="15.75" thickBot="1" x14ac:dyDescent="0.3">
      <c r="B11" s="53" t="s">
        <v>50</v>
      </c>
      <c r="C11" s="84">
        <v>20</v>
      </c>
      <c r="D11" s="56" t="s">
        <v>67</v>
      </c>
      <c r="E11" s="82">
        <v>200000</v>
      </c>
      <c r="F11" s="68" cm="1">
        <f t="array" ref="F11">Seguro_Dotal_Puro(0,E11,C11,"TD_Puebla")</f>
        <v>127009.47734997926</v>
      </c>
      <c r="G11" s="57" t="s">
        <v>66</v>
      </c>
      <c r="H11" s="88">
        <f>E11*0.5</f>
        <v>100000</v>
      </c>
      <c r="I11" s="67" cm="1">
        <f t="array" ref="I11">Seguro_TemporalA(0,H11,C11,"TD_Puebla") + Seguro_TemporalJ(0,H11,C11,"TD_Puebla")</f>
        <v>4714.1871333621311</v>
      </c>
      <c r="J11" s="69">
        <f>F11+I11</f>
        <v>131723.66448334139</v>
      </c>
      <c r="K11" s="69" cm="1">
        <f t="array" ref="K11">J11/Anualidad_Temporal(0,1,C11,"TD_Puebla")</f>
        <v>8126.9026184536542</v>
      </c>
      <c r="L11" s="78">
        <v>0.03</v>
      </c>
      <c r="M11" s="79">
        <v>2.5000000000000001E-2</v>
      </c>
      <c r="N11" s="80">
        <v>0.04</v>
      </c>
      <c r="O11" s="71">
        <f>K11/(1-L11-M11-N11)</f>
        <v>8980.0028933189551</v>
      </c>
    </row>
    <row r="13" spans="2:15" ht="15.75" x14ac:dyDescent="0.25">
      <c r="B13" s="4" t="s">
        <v>69</v>
      </c>
    </row>
    <row r="14" spans="2:15" ht="15.75" thickBot="1" x14ac:dyDescent="0.3">
      <c r="B14" s="2"/>
    </row>
    <row r="15" spans="2:15" ht="15.75" thickBot="1" x14ac:dyDescent="0.3">
      <c r="B15" s="107" t="s">
        <v>51</v>
      </c>
      <c r="C15" s="107" t="s">
        <v>57</v>
      </c>
      <c r="D15" s="102" t="s">
        <v>52</v>
      </c>
      <c r="E15" s="103"/>
      <c r="F15" s="104"/>
      <c r="G15" s="102" t="s">
        <v>53</v>
      </c>
      <c r="H15" s="103"/>
      <c r="I15" s="104"/>
      <c r="J15" s="107" t="s">
        <v>61</v>
      </c>
      <c r="K15" s="107" t="s">
        <v>62</v>
      </c>
      <c r="L15" s="102" t="s">
        <v>70</v>
      </c>
      <c r="M15" s="103"/>
      <c r="N15" s="104"/>
      <c r="O15" s="105" t="s">
        <v>73</v>
      </c>
    </row>
    <row r="16" spans="2:15" ht="30.75" thickBot="1" x14ac:dyDescent="0.3">
      <c r="B16" s="108"/>
      <c r="C16" s="108"/>
      <c r="D16" s="61" t="s">
        <v>56</v>
      </c>
      <c r="E16" s="62" t="s">
        <v>55</v>
      </c>
      <c r="F16" s="63" t="s">
        <v>54</v>
      </c>
      <c r="G16" s="64" t="s">
        <v>56</v>
      </c>
      <c r="H16" s="65" t="s">
        <v>55</v>
      </c>
      <c r="I16" s="66" t="s">
        <v>54</v>
      </c>
      <c r="J16" s="108"/>
      <c r="K16" s="108"/>
      <c r="L16" s="64" t="s">
        <v>71</v>
      </c>
      <c r="M16" s="65" t="s">
        <v>74</v>
      </c>
      <c r="N16" s="66" t="s">
        <v>72</v>
      </c>
      <c r="O16" s="106"/>
    </row>
    <row r="17" spans="2:15" x14ac:dyDescent="0.25">
      <c r="B17" s="13" t="s">
        <v>45</v>
      </c>
      <c r="C17" s="83">
        <v>5</v>
      </c>
      <c r="D17" s="54" t="s">
        <v>65</v>
      </c>
      <c r="E17" s="81">
        <v>25000</v>
      </c>
      <c r="F17" s="58" cm="1">
        <f t="array" ref="F17">Seguro_Dotal_Puro(0,E17,C17)</f>
        <v>21441.093629244675</v>
      </c>
      <c r="G17" s="55" t="s">
        <v>66</v>
      </c>
      <c r="H17" s="87">
        <f>E17*0.4</f>
        <v>10000</v>
      </c>
      <c r="I17" s="59" cm="1">
        <f t="array" ref="I17">Seguro_TemporalA(0,H17,C17) + Seguro_TemporalJ(0,H17,C17)</f>
        <v>497.35736898450983</v>
      </c>
      <c r="J17" s="60">
        <f>F17+I17</f>
        <v>21938.450998229186</v>
      </c>
      <c r="K17" s="60" cm="1">
        <f t="array" ref="K17">J17/Anualidad_Temporal(0,1,C17)</f>
        <v>4644.3889048920619</v>
      </c>
      <c r="L17" s="75">
        <v>0.03</v>
      </c>
      <c r="M17" s="76">
        <v>0.02</v>
      </c>
      <c r="N17" s="77">
        <v>0.03</v>
      </c>
      <c r="O17" s="70">
        <f>K17/(1-L17-M17-N17)</f>
        <v>5048.2488096652851</v>
      </c>
    </row>
    <row r="18" spans="2:15" x14ac:dyDescent="0.25">
      <c r="B18" s="14" t="s">
        <v>46</v>
      </c>
      <c r="C18" s="83">
        <v>10</v>
      </c>
      <c r="D18" s="54">
        <v>4</v>
      </c>
      <c r="E18" s="81">
        <v>50000</v>
      </c>
      <c r="F18" s="58" cm="1">
        <f t="array" ref="F18">Seguro_Dotal_Puro(0,E18,C18)</f>
        <v>36750.004770353487</v>
      </c>
      <c r="G18" s="55" t="s">
        <v>66</v>
      </c>
      <c r="H18" s="87">
        <f>E18*0.4</f>
        <v>20000</v>
      </c>
      <c r="I18" s="59" cm="1">
        <f t="array" ref="I18">Seguro_TemporalA(0,H18,C18) + Seguro_TemporalJ(0,H18,C18)</f>
        <v>1867.1226090559076</v>
      </c>
      <c r="J18" s="60">
        <f t="shared" ref="J18:J21" si="3">F18+I18</f>
        <v>38617.127379409394</v>
      </c>
      <c r="K18" s="60" cm="1">
        <f t="array" ref="K18">J18/Anualidad_Temporal(0,1,C18)</f>
        <v>4411.4537789681535</v>
      </c>
      <c r="L18" s="75">
        <v>0.03</v>
      </c>
      <c r="M18" s="76">
        <v>2.1000000000000001E-2</v>
      </c>
      <c r="N18" s="77">
        <v>0.05</v>
      </c>
      <c r="O18" s="70">
        <f t="shared" ref="O18:O21" si="4">K18/(1-L18-M18-N18)</f>
        <v>4907.0676073060667</v>
      </c>
    </row>
    <row r="19" spans="2:15" x14ac:dyDescent="0.25">
      <c r="B19" s="14" t="s">
        <v>47</v>
      </c>
      <c r="C19" s="83">
        <v>20</v>
      </c>
      <c r="D19" s="54" t="s">
        <v>67</v>
      </c>
      <c r="E19" s="81">
        <v>100000</v>
      </c>
      <c r="F19" s="58" cm="1">
        <f t="array" ref="F19">Seguro_Dotal_Puro(0,E19,C19)</f>
        <v>55781.37922749469</v>
      </c>
      <c r="G19" s="55" t="s">
        <v>66</v>
      </c>
      <c r="H19" s="87">
        <f>E19*0.4</f>
        <v>40000</v>
      </c>
      <c r="I19" s="59" cm="1">
        <f t="array" ref="I19">Seguro_TemporalA(0,H19,C19) + Seguro_TemporalJ(0,H19,C19)</f>
        <v>5728.1086995616733</v>
      </c>
      <c r="J19" s="60">
        <f t="shared" si="3"/>
        <v>61509.487927056362</v>
      </c>
      <c r="K19" s="60" cm="1">
        <f t="array" ref="K19">J19/Anualidad_Temporal(0,1,C19)</f>
        <v>4033.8962856261874</v>
      </c>
      <c r="L19" s="75">
        <v>0.03</v>
      </c>
      <c r="M19" s="76">
        <v>2.1999999999999999E-2</v>
      </c>
      <c r="N19" s="77">
        <v>0.06</v>
      </c>
      <c r="O19" s="70">
        <f t="shared" si="4"/>
        <v>4542.6759973267881</v>
      </c>
    </row>
    <row r="20" spans="2:15" x14ac:dyDescent="0.25">
      <c r="B20" s="14" t="s">
        <v>48</v>
      </c>
      <c r="C20" s="83">
        <v>5</v>
      </c>
      <c r="D20" s="54" t="s">
        <v>65</v>
      </c>
      <c r="E20" s="81">
        <v>50000</v>
      </c>
      <c r="F20" s="58" cm="1">
        <f t="array" ref="F20">Seguro_Dotal_Puro(0,E20,C20)</f>
        <v>42882.18725848935</v>
      </c>
      <c r="G20" s="55" t="s">
        <v>66</v>
      </c>
      <c r="H20" s="87">
        <f>E20*0.5</f>
        <v>25000</v>
      </c>
      <c r="I20" s="59" cm="1">
        <f t="array" ref="I20">Seguro_TemporalA(0,H20,C20) + Seguro_TemporalJ(0,H20,C20)</f>
        <v>1243.3934224612744</v>
      </c>
      <c r="J20" s="60">
        <f t="shared" si="3"/>
        <v>44125.580680950625</v>
      </c>
      <c r="K20" s="60" cm="1">
        <f t="array" ref="K20">J20/Anualidad_Temporal(0,1,C20)</f>
        <v>9341.423300718383</v>
      </c>
      <c r="L20" s="75">
        <v>0.03</v>
      </c>
      <c r="M20" s="76">
        <v>2.3E-2</v>
      </c>
      <c r="N20" s="77">
        <v>0.03</v>
      </c>
      <c r="O20" s="70">
        <f t="shared" si="4"/>
        <v>10186.93925923488</v>
      </c>
    </row>
    <row r="21" spans="2:15" x14ac:dyDescent="0.25">
      <c r="B21" s="14" t="s">
        <v>49</v>
      </c>
      <c r="C21" s="83">
        <v>10</v>
      </c>
      <c r="D21" s="54">
        <v>4</v>
      </c>
      <c r="E21" s="81">
        <v>100000</v>
      </c>
      <c r="F21" s="58" cm="1">
        <f t="array" ref="F21">Seguro_Dotal_Puro(0,E21,C21)</f>
        <v>73500.009540706975</v>
      </c>
      <c r="G21" s="55" t="s">
        <v>66</v>
      </c>
      <c r="H21" s="87">
        <f>E21*0.5</f>
        <v>50000</v>
      </c>
      <c r="I21" s="59" cm="1">
        <f t="array" ref="I21">Seguro_TemporalA(0,H21,C21) + Seguro_TemporalJ(0,H21,C21)</f>
        <v>4667.8065226397694</v>
      </c>
      <c r="J21" s="60">
        <f t="shared" si="3"/>
        <v>78167.816063346749</v>
      </c>
      <c r="K21" s="60" cm="1">
        <f t="array" ref="K21">J21/Anualidad_Temporal(0,1,C21)</f>
        <v>8929.5535677312819</v>
      </c>
      <c r="L21" s="75">
        <v>0.03</v>
      </c>
      <c r="M21" s="76">
        <v>2.4E-2</v>
      </c>
      <c r="N21" s="77">
        <v>0.05</v>
      </c>
      <c r="O21" s="70">
        <f t="shared" si="4"/>
        <v>9966.0196068429505</v>
      </c>
    </row>
    <row r="22" spans="2:15" ht="15.75" thickBot="1" x14ac:dyDescent="0.3">
      <c r="B22" s="53" t="s">
        <v>50</v>
      </c>
      <c r="C22" s="84">
        <v>20</v>
      </c>
      <c r="D22" s="56" t="s">
        <v>67</v>
      </c>
      <c r="E22" s="82">
        <v>200000</v>
      </c>
      <c r="F22" s="68" cm="1">
        <f t="array" ref="F22">Seguro_Dotal_Puro(0,E22,C22)</f>
        <v>111562.75845498938</v>
      </c>
      <c r="G22" s="57" t="s">
        <v>66</v>
      </c>
      <c r="H22" s="88">
        <f t="shared" ref="H22" si="5">E22*0.5</f>
        <v>100000</v>
      </c>
      <c r="I22" s="67" cm="1">
        <f t="array" ref="I22">Seguro_TemporalA(0,H22,C22) + Seguro_TemporalJ(0,H22,C22)</f>
        <v>14320.271748904186</v>
      </c>
      <c r="J22" s="69">
        <f>F22+I22</f>
        <v>125883.03020389356</v>
      </c>
      <c r="K22" s="69" cm="1">
        <f t="array" ref="K22">J22/Anualidad_Temporal(0,1,C22)</f>
        <v>8255.6221011797479</v>
      </c>
      <c r="L22" s="78">
        <v>0.03</v>
      </c>
      <c r="M22" s="79">
        <v>2.5000000000000001E-2</v>
      </c>
      <c r="N22" s="80">
        <v>0.06</v>
      </c>
      <c r="O22" s="71">
        <f>K22/(1-L22-M22-N22)</f>
        <v>9328.3865550053652</v>
      </c>
    </row>
    <row r="23" spans="2:15" x14ac:dyDescent="0.25">
      <c r="B23" s="1" t="s">
        <v>63</v>
      </c>
    </row>
    <row r="24" spans="2:15" x14ac:dyDescent="0.25">
      <c r="B24" s="1" t="s">
        <v>64</v>
      </c>
    </row>
  </sheetData>
  <mergeCells count="16">
    <mergeCell ref="B4:B5"/>
    <mergeCell ref="C4:C5"/>
    <mergeCell ref="D4:F4"/>
    <mergeCell ref="G4:I4"/>
    <mergeCell ref="J4:J5"/>
    <mergeCell ref="J15:J16"/>
    <mergeCell ref="G15:I15"/>
    <mergeCell ref="D15:F15"/>
    <mergeCell ref="C15:C16"/>
    <mergeCell ref="B15:B16"/>
    <mergeCell ref="L4:N4"/>
    <mergeCell ref="O4:O5"/>
    <mergeCell ref="L15:N15"/>
    <mergeCell ref="O15:O16"/>
    <mergeCell ref="K15:K16"/>
    <mergeCell ref="K4:K5"/>
  </mergeCells>
  <phoneticPr fontId="9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D_Puebla</vt:lpstr>
      <vt:lpstr>D_Nacional</vt:lpstr>
      <vt:lpstr>TDM</vt:lpstr>
      <vt:lpstr>TD_Puebla</vt:lpstr>
      <vt:lpstr>TD_Nacional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LUIS REYES GARCIA</dc:creator>
  <cp:lastModifiedBy>Brando Alberto Toribio García</cp:lastModifiedBy>
  <dcterms:created xsi:type="dcterms:W3CDTF">2019-04-21T21:19:15Z</dcterms:created>
  <dcterms:modified xsi:type="dcterms:W3CDTF">2021-09-08T00:16:53Z</dcterms:modified>
</cp:coreProperties>
</file>